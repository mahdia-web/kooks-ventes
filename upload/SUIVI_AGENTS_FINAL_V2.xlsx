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AMETRES" sheetId="1" r:id="rId5"/>
    <sheet state="visible" name="ENSEIGNES" sheetId="2" r:id="rId6"/>
    <sheet state="visible" name="VENTES" sheetId="3" r:id="rId7"/>
    <sheet state="visible" name="SUIVI MENSUEL COMPLET" sheetId="4" r:id="rId8"/>
    <sheet state="visible" name="SUIVI CLIENTS" sheetId="5" r:id="rId9"/>
    <sheet state="visible" name="DASHBOARD VISUEL" sheetId="6" r:id="rId10"/>
    <sheet state="visible" name="RAPPORT AGENT" sheetId="7" r:id="rId11"/>
    <sheet state="visible" name="Mail" sheetId="8" r:id="rId12"/>
  </sheets>
  <definedNames/>
  <calcPr/>
</workbook>
</file>

<file path=xl/sharedStrings.xml><?xml version="1.0" encoding="utf-8"?>
<sst xmlns="http://schemas.openxmlformats.org/spreadsheetml/2006/main" count="1431" uniqueCount="673">
  <si>
    <t>PARAMÈTRES DE CONFIGURATION</t>
  </si>
  <si>
    <t xml:space="preserve"> SUIVI MENSUEL COMPLET</t>
  </si>
  <si>
    <t>ENSEIGNE</t>
  </si>
  <si>
    <t>🟡 JAUNE = À REMPLIR | 🟢 VERT = CALCUL AUTO | ⚪ AUTO</t>
  </si>
  <si>
    <t>📅 Période:</t>
  </si>
  <si>
    <t>TYPE</t>
  </si>
  <si>
    <t>AGENT</t>
  </si>
  <si>
    <t>SCAPEST</t>
  </si>
  <si>
    <t>GUIDE LECTURE</t>
  </si>
  <si>
    <t>DATE</t>
  </si>
  <si>
    <t>N° BL</t>
  </si>
  <si>
    <t>ENSEIGNE ↓</t>
  </si>
  <si>
    <t>MT HT (€)</t>
  </si>
  <si>
    <t>1. SAISIE DES VENTES → Onglet VENTES (liste déroulante Enseigne)</t>
  </si>
  <si>
    <t>MT TTC (€)</t>
  </si>
  <si>
    <t>TAUX</t>
  </si>
  <si>
    <t>COMMISSION (€)</t>
  </si>
  <si>
    <t>2. TAUX AUTO → Direct=7%, Centrale=5%</t>
  </si>
  <si>
    <t>MOIS</t>
  </si>
  <si>
    <t>Centrale</t>
  </si>
  <si>
    <t>ANNÉE</t>
  </si>
  <si>
    <t>3. ANALYSE → Changez le mois/année pour voir les KPIs</t>
  </si>
  <si>
    <t>NBRE D'ENSEIGNES ACTIVES DU MOIS</t>
  </si>
  <si>
    <t>4. ALERTES → L'onglet SUIVI CLIENTS montre les clients à relancer</t>
  </si>
  <si>
    <t>📅 SÉLECTION DE LA PÉRIODE</t>
  </si>
  <si>
    <t>BROCARD</t>
  </si>
  <si>
    <t>📌 Alimenter la liste déroulante des ventes</t>
  </si>
  <si>
    <t>MOIS:</t>
  </si>
  <si>
    <t>Direct</t>
  </si>
  <si>
    <t>CAP FRAIS</t>
  </si>
  <si>
    <t>BDL00006497</t>
  </si>
  <si>
    <t>1. RÉSUMÉ GLOBAL DU MOIS</t>
  </si>
  <si>
    <t>SOBODIS DISTRIBUTION U EXPRESS NANTES PETIT PORT(SAS)</t>
  </si>
  <si>
    <t>SOCAMAINE</t>
  </si>
  <si>
    <t>LECLERC FLEURY LES AUBRIS SOCAMAINE (SAS)</t>
  </si>
  <si>
    <t>Août</t>
  </si>
  <si>
    <t>INDICATEUR</t>
  </si>
  <si>
    <t>SCACHAP</t>
  </si>
  <si>
    <t>ANNÉE:</t>
  </si>
  <si>
    <t>U EXPRESS RENNES HOCHE ( SAS LES CONQUERANTS )</t>
  </si>
  <si>
    <t>MOIS EN COURS</t>
  </si>
  <si>
    <t>LES PLATANES - ITM ROCHEFORT (SAS)</t>
  </si>
  <si>
    <t>MOIS PRÉCÉDENT</t>
  </si>
  <si>
    <t>ÉVOLUTION €</t>
  </si>
  <si>
    <t>(numéro mois)</t>
  </si>
  <si>
    <t>ÉVOLUTION %</t>
  </si>
  <si>
    <t>Chiffre d'Affaires HT</t>
  </si>
  <si>
    <t>SODICHAL - HYPER U CHALLANS (SAS)</t>
  </si>
  <si>
    <t>DISTRIBUTION - U EXPRESS NANTES PETIT PORT (SAS)</t>
  </si>
  <si>
    <t>LECLERC FLEURY LES AUBRAIS (SOCAMAINE)</t>
  </si>
  <si>
    <t>SAS SODIHARDT (SUPER U - GUNDERSHOFFEN)</t>
  </si>
  <si>
    <t>INTERMARCHE coulounieix chamiers (COCHAME)</t>
  </si>
  <si>
    <t>PARIS DISTRIBUTION (SAS)</t>
  </si>
  <si>
    <t>RENOUEST ( E.LECLERC RENNES ) (SAS)</t>
  </si>
  <si>
    <t>AUCHAN HYPERMARCHE AVRILLE - SAS JUIGNEDIS (SAS)</t>
  </si>
  <si>
    <t>HYPER U LES HERBIERS ( SAS EXAGONE)</t>
  </si>
  <si>
    <t>LECLERC OLONNE SUR MER (SODILONNE)</t>
  </si>
  <si>
    <t>SU NANTES CHENAIE (SAS EXPAN) CARQUEFOU</t>
  </si>
  <si>
    <t>LECLERC SOCAMAINE SAS FONDIS</t>
  </si>
  <si>
    <t>THOUARS DISTRIBUTION</t>
  </si>
  <si>
    <t>SAS PARIS DISTRIBUTION</t>
  </si>
  <si>
    <t>LECLERC CERNAY</t>
  </si>
  <si>
    <t>CARREFOUR BELGIQUE</t>
  </si>
  <si>
    <t>GMA GROUP</t>
  </si>
  <si>
    <t>SAS TRYO - ITM SAINT LAURENT DU VAR</t>
  </si>
  <si>
    <t>SCHLESSER</t>
  </si>
  <si>
    <t>SAS LORIENCE ITM TOULON</t>
  </si>
  <si>
    <t>SAS INTERMARCHE - ROURET</t>
  </si>
  <si>
    <t>SAS INTERMARCHE - PONT DES GARBES</t>
  </si>
  <si>
    <t>E. LECLERC PONTCHATEAU (SAS)</t>
  </si>
  <si>
    <t>Commission Totale</t>
  </si>
  <si>
    <t>HYPER U -Savenay (SAS)</t>
  </si>
  <si>
    <t>COMMISSION</t>
  </si>
  <si>
    <t>INTERMARCHE GRAND FOUGERAY (SAS )</t>
  </si>
  <si>
    <t>INTERMARCHE  CANNES PONT DES GARBES</t>
  </si>
  <si>
    <t>HYPER U  ST PHILBERT DE GRANDLIEU- PHILDIS SAS -</t>
  </si>
  <si>
    <t>HYPER U LA MONTAGNE- SARL SODISUD</t>
  </si>
  <si>
    <t>SAS LECLERC ERSTEIN</t>
  </si>
  <si>
    <t>SAS AUCHAN SEMECOURT</t>
  </si>
  <si>
    <t>SAS INTERMARCHE LIMOGES</t>
  </si>
  <si>
    <t>SAS LECLERC GRASS</t>
  </si>
  <si>
    <t>⚠️ALERTES CLIENTS</t>
  </si>
  <si>
    <t>SA TRUCHIDIM - SUPER U - TRUCHTERSHEIM</t>
  </si>
  <si>
    <t>Mois sans commande = Alerte:</t>
  </si>
  <si>
    <t>mois</t>
  </si>
  <si>
    <t>Nombre BL Direct</t>
  </si>
  <si>
    <t>SAS JODI - ITM EXPRESS NANTES ST JOSEPH</t>
  </si>
  <si>
    <t>SAS LECLERC HYPERMARCHE HIRSINGUE - SAS</t>
  </si>
  <si>
    <t>SAS NOIDIS (E LECLERC - PUSEY)</t>
  </si>
  <si>
    <t>BDL00006501</t>
  </si>
  <si>
    <t>SAS KERVILLY ( E.LECLERC QUIMPER )</t>
  </si>
  <si>
    <t>OTERA SAS</t>
  </si>
  <si>
    <t>SCAOUEST</t>
  </si>
  <si>
    <t xml:space="preserve">ALDOUEST </t>
  </si>
  <si>
    <t>SA SUPER U L'EPINE (NOIRMOUTIER)</t>
  </si>
  <si>
    <t>SAS SU OLONNE SUR MER</t>
  </si>
  <si>
    <t>Nombre BL Centrale</t>
  </si>
  <si>
    <t>SAS SU LA TRANCHE SUR MER</t>
  </si>
  <si>
    <t>SAS U EXPRESS LES MARINES</t>
  </si>
  <si>
    <t>SAS SU OLONNE SUR MER (SAS CHATODIS)</t>
  </si>
  <si>
    <t>BDL00006498</t>
  </si>
  <si>
    <t>Nombre BL TOTAL</t>
  </si>
  <si>
    <t>BDL00006516</t>
  </si>
  <si>
    <t>Panier Moyen HT</t>
  </si>
  <si>
    <t>2. PERFORMANCE PAR AGENT</t>
  </si>
  <si>
    <t>BDL00006517</t>
  </si>
  <si>
    <t>CA DIRECT</t>
  </si>
  <si>
    <t>CA CENTRALE</t>
  </si>
  <si>
    <t>CA TOTAL</t>
  </si>
  <si>
    <t>COMM. TOTAL</t>
  </si>
  <si>
    <t>NB BL DIR</t>
  </si>
  <si>
    <t>NB BL CENT</t>
  </si>
  <si>
    <t>NB BL TOT</t>
  </si>
  <si>
    <t>PART CA en %</t>
  </si>
  <si>
    <t xml:space="preserve">AOV Direct </t>
  </si>
  <si>
    <t xml:space="preserve">AOV Central </t>
  </si>
  <si>
    <t>BDL00006547</t>
  </si>
  <si>
    <t>BDL00006546</t>
  </si>
  <si>
    <t>BDL00006585</t>
  </si>
  <si>
    <t>SUIVI FIDÉLISATION CLIENT</t>
  </si>
  <si>
    <t>Enseignes Fidèles:</t>
  </si>
  <si>
    <t>Nouveaux Clients:</t>
  </si>
  <si>
    <t>Récurrence Moyenne:</t>
  </si>
  <si>
    <t>Pattern 2-3 mois:</t>
  </si>
  <si>
    <t>⚠️ Clients à Relancer:</t>
  </si>
  <si>
    <t>Voir liste ci-dessous</t>
  </si>
  <si>
    <t>BDL00006584</t>
  </si>
  <si>
    <t>LISTE DÉTAILLÉE DES ENSEIGNES</t>
  </si>
  <si>
    <t>NB BL TOTAL</t>
  </si>
  <si>
    <t>DERNIÈRE CMD</t>
  </si>
  <si>
    <t>MOIS SANS CMD</t>
  </si>
  <si>
    <t>RÉCURRENCE</t>
  </si>
  <si>
    <t>STATUTS</t>
  </si>
  <si>
    <t>ACTION</t>
  </si>
  <si>
    <t>BDL00006581</t>
  </si>
  <si>
    <t>BDL00006569</t>
  </si>
  <si>
    <t>BDL00006580</t>
  </si>
  <si>
    <t>BDL00006591</t>
  </si>
  <si>
    <t>BDL00006616</t>
  </si>
  <si>
    <t>BDL00006615</t>
  </si>
  <si>
    <t>BDL00006651</t>
  </si>
  <si>
    <t>TOTAL</t>
  </si>
  <si>
    <t>BDL00006650</t>
  </si>
  <si>
    <t>3. FOCUS ENSEIGNES CENTRALES</t>
  </si>
  <si>
    <t>Jan 2026</t>
  </si>
  <si>
    <t>Fév</t>
  </si>
  <si>
    <t>Mar</t>
  </si>
  <si>
    <t>Avr</t>
  </si>
  <si>
    <t>Mai</t>
  </si>
  <si>
    <t>Jun</t>
  </si>
  <si>
    <t>Jul</t>
  </si>
  <si>
    <t>Aoû</t>
  </si>
  <si>
    <t>Sep</t>
  </si>
  <si>
    <t>Oct</t>
  </si>
  <si>
    <t>Nov</t>
  </si>
  <si>
    <t>Déc</t>
  </si>
  <si>
    <t>BDL00006673</t>
  </si>
  <si>
    <t>BDL00006675</t>
  </si>
  <si>
    <t>BDL00006696</t>
  </si>
  <si>
    <t>BDL00006703</t>
  </si>
  <si>
    <t>BDL00006792</t>
  </si>
  <si>
    <t>BDL00006852</t>
  </si>
  <si>
    <t>BDL00006917</t>
  </si>
  <si>
    <t>BDL00006918</t>
  </si>
  <si>
    <t>BDL00006946</t>
  </si>
  <si>
    <t>BDL00006947</t>
  </si>
  <si>
    <t>BDL00006959</t>
  </si>
  <si>
    <t>BDL00006962</t>
  </si>
  <si>
    <t>BDL00006960</t>
  </si>
  <si>
    <t>BDL00006989</t>
  </si>
  <si>
    <t>BDL00006996</t>
  </si>
  <si>
    <t>BDL00006995</t>
  </si>
  <si>
    <t>BDL00007027</t>
  </si>
  <si>
    <t>BDL00007045</t>
  </si>
  <si>
    <t>BDL00007046</t>
  </si>
  <si>
    <t>4. FOCUS ENSEIGNES DIRECTS</t>
  </si>
  <si>
    <t>BDL00007078</t>
  </si>
  <si>
    <t>BDL00006992</t>
  </si>
  <si>
    <t>BDL00007093</t>
  </si>
  <si>
    <t>BDL00007114</t>
  </si>
  <si>
    <t>BDL00007087</t>
  </si>
  <si>
    <t>BDL00007015</t>
  </si>
  <si>
    <t>BDL00006979</t>
  </si>
  <si>
    <t>BDL00006961</t>
  </si>
  <si>
    <t>BDL00006927</t>
  </si>
  <si>
    <t>BDL00006872</t>
  </si>
  <si>
    <t>Réf. à BDL00007067</t>
  </si>
  <si>
    <t>Réf. à BDL00007028</t>
  </si>
  <si>
    <t>Réf. à BDL00007001</t>
  </si>
  <si>
    <t>Réf. à BDL00006975</t>
  </si>
  <si>
    <t>Réf. à BDL00006924</t>
  </si>
  <si>
    <t>Réf. à BDL00006902</t>
  </si>
  <si>
    <t>Réf. à BDL00006882</t>
  </si>
  <si>
    <t>BDL00007064</t>
  </si>
  <si>
    <t>BDL00006997</t>
  </si>
  <si>
    <t>5. ÉVOLUTION SUR 12 MOIS</t>
  </si>
  <si>
    <t>BDL00006967</t>
  </si>
  <si>
    <t>Jan</t>
  </si>
  <si>
    <t>CA TOTAL (€)</t>
  </si>
  <si>
    <t>BDL00006968</t>
  </si>
  <si>
    <t>BDL00006874</t>
  </si>
  <si>
    <t>BDL00006875</t>
  </si>
  <si>
    <t>BDL00006879</t>
  </si>
  <si>
    <t>BDL00006880</t>
  </si>
  <si>
    <t>BDL00006881</t>
  </si>
  <si>
    <t>NB BL</t>
  </si>
  <si>
    <t>BDL00006900</t>
  </si>
  <si>
    <t>BDL00006901</t>
  </si>
  <si>
    <t>BDL00006913</t>
  </si>
  <si>
    <t>BDL00006920</t>
  </si>
  <si>
    <t>BDL00006921</t>
  </si>
  <si>
    <t>BDL00006922</t>
  </si>
  <si>
    <t xml:space="preserve">SCADIF </t>
  </si>
  <si>
    <t>BDL00006942</t>
  </si>
  <si>
    <t>BDL00006943</t>
  </si>
  <si>
    <t>BDL00006964</t>
  </si>
  <si>
    <t>BDL00006965</t>
  </si>
  <si>
    <t>BDL00006966</t>
  </si>
  <si>
    <t>BDL00006972</t>
  </si>
  <si>
    <t>BDL00006973</t>
  </si>
  <si>
    <t>BDL00006974</t>
  </si>
  <si>
    <t>BDL00006998</t>
  </si>
  <si>
    <t>BDL00006999</t>
  </si>
  <si>
    <t>BDL00007016</t>
  </si>
  <si>
    <t xml:space="preserve">RAPPORT MENSUEL </t>
  </si>
  <si>
    <t>AGENT:</t>
  </si>
  <si>
    <t>PÉRIODE:</t>
  </si>
  <si>
    <t>BDL00007021</t>
  </si>
  <si>
    <t>PERFORMANCE DE L'AGENT</t>
  </si>
  <si>
    <t>MOIS CLOTURE</t>
  </si>
  <si>
    <t>MOIS PRÉC.</t>
  </si>
  <si>
    <t xml:space="preserve">VARIATION </t>
  </si>
  <si>
    <t>VARIATION EN %</t>
  </si>
  <si>
    <t>CA Total</t>
  </si>
  <si>
    <t>BDL00007022</t>
  </si>
  <si>
    <t>BDL00007023</t>
  </si>
  <si>
    <t xml:space="preserve">CA Direct </t>
  </si>
  <si>
    <t>BDL00007053</t>
  </si>
  <si>
    <t>BDL00007054</t>
  </si>
  <si>
    <t>CA centrale</t>
  </si>
  <si>
    <t>BDL00007081</t>
  </si>
  <si>
    <t xml:space="preserve">Commission Totale </t>
  </si>
  <si>
    <t>BDL00007082</t>
  </si>
  <si>
    <t>BDL00007083</t>
  </si>
  <si>
    <t>NB BL Direct</t>
  </si>
  <si>
    <t>BDL00007125</t>
  </si>
  <si>
    <t>NB BL Centrale</t>
  </si>
  <si>
    <t>BDL00007127</t>
  </si>
  <si>
    <t>NB BL Total</t>
  </si>
  <si>
    <t>BDL00007126</t>
  </si>
  <si>
    <t>BDL00007158</t>
  </si>
  <si>
    <t>BDL00007159</t>
  </si>
  <si>
    <t>BDL00007167</t>
  </si>
  <si>
    <t>AOV Centrale</t>
  </si>
  <si>
    <t>BDL00007168</t>
  </si>
  <si>
    <t>FIDÉLISATION CLIENT</t>
  </si>
  <si>
    <t>CENTRALES</t>
  </si>
  <si>
    <t xml:space="preserve">CHIFFRE D'AFFAIRES </t>
  </si>
  <si>
    <t xml:space="preserve">Clients Fidèles à deux mois </t>
  </si>
  <si>
    <t>BDL00007085</t>
  </si>
  <si>
    <t>BDL00007096</t>
  </si>
  <si>
    <t xml:space="preserve">Clients Fidèles à trois mois </t>
  </si>
  <si>
    <t>BDL00007141</t>
  </si>
  <si>
    <t xml:space="preserve">Nouveaux Clients du mois </t>
  </si>
  <si>
    <t>BDL00007160</t>
  </si>
  <si>
    <t>Récurrence Moyenne</t>
  </si>
  <si>
    <t>BDL00007208</t>
  </si>
  <si>
    <t>BDL00007220</t>
  </si>
  <si>
    <t>Clients à Relancer</t>
  </si>
  <si>
    <t>BDL00007221</t>
  </si>
  <si>
    <t xml:space="preserve">⚠️ CLIENTS A RELANCER </t>
  </si>
  <si>
    <t>BDL00007252</t>
  </si>
  <si>
    <t>Client du mois N (ayant commandé)</t>
  </si>
  <si>
    <t>Client du mois N-1</t>
  </si>
  <si>
    <t>Client du mois N-2</t>
  </si>
  <si>
    <t>BDL00007253</t>
  </si>
  <si>
    <t>BDL00007269</t>
  </si>
  <si>
    <t>BDL00007285</t>
  </si>
  <si>
    <t>BDL00007305</t>
  </si>
  <si>
    <t>BDL00007321</t>
  </si>
  <si>
    <t>BDL00007195</t>
  </si>
  <si>
    <t>BDL00007281</t>
  </si>
  <si>
    <t>BDL00007299</t>
  </si>
  <si>
    <t>BDL00007219</t>
  </si>
  <si>
    <t>BDL00007235</t>
  </si>
  <si>
    <t>BDL00007236</t>
  </si>
  <si>
    <t>BDL00007273</t>
  </si>
  <si>
    <t>BDL00007196</t>
  </si>
  <si>
    <t>BDL00007199</t>
  </si>
  <si>
    <t>BDL00007223</t>
  </si>
  <si>
    <t>BDL00007233</t>
  </si>
  <si>
    <t xml:space="preserve">Envoie rapport </t>
  </si>
  <si>
    <t>BDL00007268</t>
  </si>
  <si>
    <t>BDL00007274</t>
  </si>
  <si>
    <t>BDL00007286</t>
  </si>
  <si>
    <t>BDL00007306</t>
  </si>
  <si>
    <t>BDL00007298</t>
  </si>
  <si>
    <t>florian.bouard@cap-frais.com</t>
  </si>
  <si>
    <t>patrice.talhouarn@cap-frais.com</t>
  </si>
  <si>
    <t>pascal.lebret@cap-frais.com</t>
  </si>
  <si>
    <t>camille@kooks.eu</t>
  </si>
  <si>
    <t>asassi@agencebrocard.fr</t>
  </si>
  <si>
    <t>galotto@agencebrocard.fr</t>
  </si>
  <si>
    <t>mahdia@kooks.eu</t>
  </si>
  <si>
    <t>lea@schlesser.fr</t>
  </si>
  <si>
    <t>caroline@schlesser.fr</t>
  </si>
  <si>
    <t>BDL00007211</t>
  </si>
  <si>
    <t>BDL00007216</t>
  </si>
  <si>
    <t>BDL00007217</t>
  </si>
  <si>
    <t>BDL00007218</t>
  </si>
  <si>
    <t>BDL00007226</t>
  </si>
  <si>
    <t>BDL00007248</t>
  </si>
  <si>
    <t>BDL00007249</t>
  </si>
  <si>
    <t>BDL00007250</t>
  </si>
  <si>
    <t>BDL00007275</t>
  </si>
  <si>
    <t>BDL00007276</t>
  </si>
  <si>
    <t>BDL00007277</t>
  </si>
  <si>
    <t>BDL00007278</t>
  </si>
  <si>
    <t>BDL00007302</t>
  </si>
  <si>
    <t>BDL00007303</t>
  </si>
  <si>
    <t>BDL00007318</t>
  </si>
  <si>
    <t>BDL00007319</t>
  </si>
  <si>
    <t>BDL00007320</t>
  </si>
  <si>
    <t>BDL00007192</t>
  </si>
  <si>
    <t>BDL00007287</t>
  </si>
  <si>
    <t>BDL00007094</t>
  </si>
  <si>
    <t>BDL00007120</t>
  </si>
  <si>
    <t>BDL00007121</t>
  </si>
  <si>
    <t>BDL00007122</t>
  </si>
  <si>
    <t>BDL00007153</t>
  </si>
  <si>
    <t>BDL00007154</t>
  </si>
  <si>
    <t>BDL00007155</t>
  </si>
  <si>
    <t>BDL00007157</t>
  </si>
  <si>
    <t>BDL00007193</t>
  </si>
  <si>
    <t>BDL00007194</t>
  </si>
  <si>
    <t>BDL00007338</t>
  </si>
  <si>
    <t>BDL00007352</t>
  </si>
  <si>
    <t>BDL00007378</t>
  </si>
  <si>
    <t>BDL00007405</t>
  </si>
  <si>
    <t>BDL00007434</t>
  </si>
  <si>
    <t>BDL00007454</t>
  </si>
  <si>
    <t>BDL00007474</t>
  </si>
  <si>
    <t>BDL00007341</t>
  </si>
  <si>
    <t>BDL00007344</t>
  </si>
  <si>
    <t>BDL00007375</t>
  </si>
  <si>
    <t>BDL00007374</t>
  </si>
  <si>
    <t>BDL00007386</t>
  </si>
  <si>
    <t>BDL00007419</t>
  </si>
  <si>
    <t>BDL00007472</t>
  </si>
  <si>
    <t>BDL00007448</t>
  </si>
  <si>
    <t>BDL00007449</t>
  </si>
  <si>
    <t>BDL00007429</t>
  </si>
  <si>
    <t>BDL00007430</t>
  </si>
  <si>
    <t>BDL00007431</t>
  </si>
  <si>
    <t>BDL00007425</t>
  </si>
  <si>
    <t>BDL00007398</t>
  </si>
  <si>
    <t>BDL00007397</t>
  </si>
  <si>
    <t>BDL00007399</t>
  </si>
  <si>
    <t>BDL00007371</t>
  </si>
  <si>
    <t>BDL00007372</t>
  </si>
  <si>
    <t>BDL00007373</t>
  </si>
  <si>
    <t>BDL00007367</t>
  </si>
  <si>
    <t>BDL00007368</t>
  </si>
  <si>
    <t>BDL00007349</t>
  </si>
  <si>
    <t>BDL00007350</t>
  </si>
  <si>
    <t>BDL00007351</t>
  </si>
  <si>
    <t>BDL00007324</t>
  </si>
  <si>
    <t>BDL00007489</t>
  </si>
  <si>
    <t>BDL00007395</t>
  </si>
  <si>
    <t>BDL00007325</t>
  </si>
  <si>
    <t>BDL00007455</t>
  </si>
  <si>
    <t>BDL00007493</t>
  </si>
  <si>
    <t>BDL00007494</t>
  </si>
  <si>
    <t>BDL00007495</t>
  </si>
  <si>
    <t>BDL00007518</t>
  </si>
  <si>
    <t>BDL00007519</t>
  </si>
  <si>
    <t>BDL00007520</t>
  </si>
  <si>
    <t>BDL00007499</t>
  </si>
  <si>
    <t>BDL00007471</t>
  </si>
  <si>
    <t>BDL00007466</t>
  </si>
  <si>
    <t>BDL00007428</t>
  </si>
  <si>
    <t>BDL00007468</t>
  </si>
  <si>
    <t>BDL00007424</t>
  </si>
  <si>
    <t>BDL00007369</t>
  </si>
  <si>
    <t>BDL00007329</t>
  </si>
  <si>
    <t>BDL00007530</t>
  </si>
  <si>
    <t>BDL00007524</t>
  </si>
  <si>
    <t>BDL00007525</t>
  </si>
  <si>
    <t>BDL00007517</t>
  </si>
  <si>
    <t>BDL00007527</t>
  </si>
  <si>
    <t>BDL00007522</t>
  </si>
  <si>
    <t>BDL00007531</t>
  </si>
  <si>
    <t>BDL00007553</t>
  </si>
  <si>
    <t>BDL00007566</t>
  </si>
  <si>
    <t>BDL00007594</t>
  </si>
  <si>
    <t>BDL00007595</t>
  </si>
  <si>
    <t>BDL00007616</t>
  </si>
  <si>
    <t>BDL00007619</t>
  </si>
  <si>
    <t>BDL00007620</t>
  </si>
  <si>
    <t>BDL00007650</t>
  </si>
  <si>
    <t>BDL00007651</t>
  </si>
  <si>
    <t>BDL00007673</t>
  </si>
  <si>
    <t>BDL00007666</t>
  </si>
  <si>
    <t>BDL00007687</t>
  </si>
  <si>
    <t>BDL00007703</t>
  </si>
  <si>
    <t>BDL00007714</t>
  </si>
  <si>
    <t>BDL00007732</t>
  </si>
  <si>
    <t>BDL00007733</t>
  </si>
  <si>
    <t>BDL00007752</t>
  </si>
  <si>
    <t>BDL00007753</t>
  </si>
  <si>
    <t>BDL00007751</t>
  </si>
  <si>
    <t>BDL00007639</t>
  </si>
  <si>
    <t>BDL00007563</t>
  </si>
  <si>
    <t>BDL00007552</t>
  </si>
  <si>
    <t>BDL00007754</t>
  </si>
  <si>
    <t>BDL00007700</t>
  </si>
  <si>
    <t>BDL00007676</t>
  </si>
  <si>
    <t>BDL00007648</t>
  </si>
  <si>
    <t>BDL00007596</t>
  </si>
  <si>
    <t>BDL00007609</t>
  </si>
  <si>
    <t>BDL00007573</t>
  </si>
  <si>
    <t>BDL00007544</t>
  </si>
  <si>
    <t>BDL00007545</t>
  </si>
  <si>
    <t>BDL00007546</t>
  </si>
  <si>
    <t>BDL00007547</t>
  </si>
  <si>
    <t>BDL00007568</t>
  </si>
  <si>
    <t>BDL00007570</t>
  </si>
  <si>
    <t>BDL00007571</t>
  </si>
  <si>
    <t>BDL00007590</t>
  </si>
  <si>
    <t>BDL00007591</t>
  </si>
  <si>
    <t>BDL00007613</t>
  </si>
  <si>
    <t>BDL00007614</t>
  </si>
  <si>
    <t>BDL00007615</t>
  </si>
  <si>
    <t>BDL00007622</t>
  </si>
  <si>
    <t>BDL00007623</t>
  </si>
  <si>
    <t>BDL00007643</t>
  </si>
  <si>
    <t>BDL00007644</t>
  </si>
  <si>
    <t>BDL00007645</t>
  </si>
  <si>
    <t>BDL00007668</t>
  </si>
  <si>
    <t>BDL00007669</t>
  </si>
  <si>
    <t>BDL00007694</t>
  </si>
  <si>
    <t>BDL00007695</t>
  </si>
  <si>
    <t>BDL00007696</t>
  </si>
  <si>
    <t>BDL00007715</t>
  </si>
  <si>
    <t>BDL00007716</t>
  </si>
  <si>
    <t>BDL00007721</t>
  </si>
  <si>
    <t>BDL00007722</t>
  </si>
  <si>
    <t>BDL00007758</t>
  </si>
  <si>
    <t>BDL00007759</t>
  </si>
  <si>
    <t>BDL00007760</t>
  </si>
  <si>
    <t>BDL00007734</t>
  </si>
  <si>
    <t>BDL00007739</t>
  </si>
  <si>
    <t>BDL00007717</t>
  </si>
  <si>
    <t>BDL00007670</t>
  </si>
  <si>
    <t>BDL00007628</t>
  </si>
  <si>
    <t>BDL00007610</t>
  </si>
  <si>
    <t>BDL00007567</t>
  </si>
  <si>
    <t>BDL00007475</t>
  </si>
  <si>
    <t>BDL00007773</t>
  </si>
  <si>
    <t>BDL00007795</t>
  </si>
  <si>
    <t>BDL00007801</t>
  </si>
  <si>
    <t>BDL00007822</t>
  </si>
  <si>
    <t>BDL00007847</t>
  </si>
  <si>
    <t>BDL00007854</t>
  </si>
  <si>
    <t>BDL00007868</t>
  </si>
  <si>
    <t>BDL00007588</t>
  </si>
  <si>
    <t>BDL00007870</t>
  </si>
  <si>
    <t>BDL00007876</t>
  </si>
  <si>
    <t>BDL00007877</t>
  </si>
  <si>
    <t>BDL00007878</t>
  </si>
  <si>
    <t>BDL00007895</t>
  </si>
  <si>
    <t>BDL00007922</t>
  </si>
  <si>
    <t>BDL00007923</t>
  </si>
  <si>
    <t>BDL00007940</t>
  </si>
  <si>
    <t>BDL00007941</t>
  </si>
  <si>
    <t>BDL00007942</t>
  </si>
  <si>
    <t>BDL00007973</t>
  </si>
  <si>
    <t>BDL00007974</t>
  </si>
  <si>
    <t>BDL00007970</t>
  </si>
  <si>
    <t>BDL00007787</t>
  </si>
  <si>
    <t>BDL00007824</t>
  </si>
  <si>
    <t>BDL00007867</t>
  </si>
  <si>
    <t>BDL00007891</t>
  </si>
  <si>
    <t>BDL00007948</t>
  </si>
  <si>
    <t>BDL00007972</t>
  </si>
  <si>
    <t>BDL00007896</t>
  </si>
  <si>
    <t>BDL00007823</t>
  </si>
  <si>
    <t>BDL00007968</t>
  </si>
  <si>
    <t>BDL00007925</t>
  </si>
  <si>
    <t>BDL00007875</t>
  </si>
  <si>
    <t>BDL00007863</t>
  </si>
  <si>
    <t>BDL00007993</t>
  </si>
  <si>
    <t>BDL00007794</t>
  </si>
  <si>
    <t>BDL00007825</t>
  </si>
  <si>
    <t>BDL00007826</t>
  </si>
  <si>
    <t>BDL00007827</t>
  </si>
  <si>
    <t>BDL00007853</t>
  </si>
  <si>
    <t>BDL00007865</t>
  </si>
  <si>
    <t>BDL00007866</t>
  </si>
  <si>
    <t>BDL00007892</t>
  </si>
  <si>
    <t>BDL00007893</t>
  </si>
  <si>
    <t>BDL00007914</t>
  </si>
  <si>
    <t>BDL00007919</t>
  </si>
  <si>
    <t>BDL00007920</t>
  </si>
  <si>
    <t>BDL00007921</t>
  </si>
  <si>
    <t>BDL00007945</t>
  </si>
  <si>
    <t>BDL00007946</t>
  </si>
  <si>
    <t>BDL00007947</t>
  </si>
  <si>
    <t>BDL00007965</t>
  </si>
  <si>
    <t>BDL00007966</t>
  </si>
  <si>
    <t>BDL00007988</t>
  </si>
  <si>
    <t>BDL00007989</t>
  </si>
  <si>
    <t>BDL00007990</t>
  </si>
  <si>
    <t>BDL00008010</t>
  </si>
  <si>
    <t>BDL00008009</t>
  </si>
  <si>
    <t>BDL00008036</t>
  </si>
  <si>
    <t>BDL00008020</t>
  </si>
  <si>
    <t>BDL00008039</t>
  </si>
  <si>
    <t>BDL00008059</t>
  </si>
  <si>
    <t>BDL00008058</t>
  </si>
  <si>
    <t>BDL00008057</t>
  </si>
  <si>
    <t>BDL00008113</t>
  </si>
  <si>
    <t>BDL00008105</t>
  </si>
  <si>
    <t>BDL00008114</t>
  </si>
  <si>
    <t>BDL00008145</t>
  </si>
  <si>
    <t>BDL00008143</t>
  </si>
  <si>
    <t>BDL00008164</t>
  </si>
  <si>
    <t>BDL00008163</t>
  </si>
  <si>
    <t>BDL00008119</t>
  </si>
  <si>
    <t>BDL00008172</t>
  </si>
  <si>
    <t>BDL00008180</t>
  </si>
  <si>
    <t>BDL00008017</t>
  </si>
  <si>
    <t>BDL00008016</t>
  </si>
  <si>
    <t>BDL00008038</t>
  </si>
  <si>
    <t>BDL00008037</t>
  </si>
  <si>
    <t>BDL00008062</t>
  </si>
  <si>
    <t>BDL00008061</t>
  </si>
  <si>
    <t>BDL00008068</t>
  </si>
  <si>
    <t>BDL00008087</t>
  </si>
  <si>
    <t>BDL00008086</t>
  </si>
  <si>
    <t>BDL00008085</t>
  </si>
  <si>
    <t>BDL00008108</t>
  </si>
  <si>
    <t>BDL00008116</t>
  </si>
  <si>
    <t>BDL00008142</t>
  </si>
  <si>
    <t>BDL00008141</t>
  </si>
  <si>
    <t>BDL00008140</t>
  </si>
  <si>
    <t>BDL00008166</t>
  </si>
  <si>
    <t>BDL00008184</t>
  </si>
  <si>
    <t>BDL00008183</t>
  </si>
  <si>
    <t>BDL00008182</t>
  </si>
  <si>
    <t>BDL00008200</t>
  </si>
  <si>
    <t>BDL00008199</t>
  </si>
  <si>
    <t>BDL00008022</t>
  </si>
  <si>
    <t>BDL00008094</t>
  </si>
  <si>
    <t>BDL00008042</t>
  </si>
  <si>
    <t>BDL00008146</t>
  </si>
  <si>
    <t>BDL00008120</t>
  </si>
  <si>
    <t>BDL00008074</t>
  </si>
  <si>
    <t>BDL00008186</t>
  </si>
  <si>
    <t>BDL00008206</t>
  </si>
  <si>
    <t>BDL00008169</t>
  </si>
  <si>
    <t>BDL00008115</t>
  </si>
  <si>
    <t>BDL00008171</t>
  </si>
  <si>
    <t>BDL00008157</t>
  </si>
  <si>
    <t>BDL00008107</t>
  </si>
  <si>
    <t>BDL00008212</t>
  </si>
  <si>
    <t>BDL00008211</t>
  </si>
  <si>
    <t>BDL00008229</t>
  </si>
  <si>
    <t>BDL00008330</t>
  </si>
  <si>
    <t>BDL00008322</t>
  </si>
  <si>
    <t>BDL00008321</t>
  </si>
  <si>
    <t>BDL00008320</t>
  </si>
  <si>
    <t>BDL00008343</t>
  </si>
  <si>
    <t>BDL00008342</t>
  </si>
  <si>
    <t>BDL00008363</t>
  </si>
  <si>
    <t>BDL00008350</t>
  </si>
  <si>
    <t>BDL00008371</t>
  </si>
  <si>
    <t>FAC00008372</t>
  </si>
  <si>
    <t>FAC00008371</t>
  </si>
  <si>
    <t>FAC00008370</t>
  </si>
  <si>
    <t>FAC00008390</t>
  </si>
  <si>
    <t>FAC00008389</t>
  </si>
  <si>
    <t>FAC00008388</t>
  </si>
  <si>
    <t>FAC00008402</t>
  </si>
  <si>
    <t>FAC00008401</t>
  </si>
  <si>
    <t>FAC00008400</t>
  </si>
  <si>
    <t>FAC00008399</t>
  </si>
  <si>
    <t>FAC00008398</t>
  </si>
  <si>
    <t>FAC00008420</t>
  </si>
  <si>
    <t>FAC00008419</t>
  </si>
  <si>
    <t>FAC00008418</t>
  </si>
  <si>
    <t>FAC00008449</t>
  </si>
  <si>
    <t>FAC00008460</t>
  </si>
  <si>
    <t>FAC00008459</t>
  </si>
  <si>
    <t>FAC00008458</t>
  </si>
  <si>
    <t>FAC00008487</t>
  </si>
  <si>
    <t>FAC00008486</t>
  </si>
  <si>
    <t>FAC00008485</t>
  </si>
  <si>
    <t>FAC00008379</t>
  </si>
  <si>
    <t>FAC00008403</t>
  </si>
  <si>
    <t>FAC00008448</t>
  </si>
  <si>
    <t>FAC00008468</t>
  </si>
  <si>
    <t>FAC00008497</t>
  </si>
  <si>
    <t>BDL00008415</t>
  </si>
  <si>
    <t>BDL00008390</t>
  </si>
  <si>
    <t>BDL00008369</t>
  </si>
  <si>
    <t>BDL00008420</t>
  </si>
  <si>
    <t>BDL00008402</t>
  </si>
  <si>
    <t>BDL00008401</t>
  </si>
  <si>
    <t>BDL00008387</t>
  </si>
  <si>
    <t>BDL00008386</t>
  </si>
  <si>
    <t>BDL00008383</t>
  </si>
  <si>
    <t>BDL00008382</t>
  </si>
  <si>
    <t>BDL00008366</t>
  </si>
  <si>
    <t>BDL00008351</t>
  </si>
  <si>
    <t>BDL00008308</t>
  </si>
  <si>
    <t>BDL00008215</t>
  </si>
  <si>
    <t>BDL00008388</t>
  </si>
  <si>
    <t>BDL00008345</t>
  </si>
  <si>
    <t>BDL00008294</t>
  </si>
  <si>
    <t>BDL00008252</t>
  </si>
  <si>
    <t>BDL00008575</t>
  </si>
  <si>
    <t>BDL00008571</t>
  </si>
  <si>
    <t>BDL00008566</t>
  </si>
  <si>
    <t>BDL00008565</t>
  </si>
  <si>
    <t>BDL00008557</t>
  </si>
  <si>
    <t>BDL00008447</t>
  </si>
  <si>
    <t>BDL00008589</t>
  </si>
  <si>
    <t>BDL00008588</t>
  </si>
  <si>
    <t>BDL00008587</t>
  </si>
  <si>
    <t>BDL00008561</t>
  </si>
  <si>
    <t>BDL00008560</t>
  </si>
  <si>
    <t>BDL00008542</t>
  </si>
  <si>
    <t>BDL00008541</t>
  </si>
  <si>
    <t>BDL00008540</t>
  </si>
  <si>
    <t>BDL00008511</t>
  </si>
  <si>
    <t>BDL00008492</t>
  </si>
  <si>
    <t>BDL00008491</t>
  </si>
  <si>
    <t>BDL00008490</t>
  </si>
  <si>
    <t>BDL00008465</t>
  </si>
  <si>
    <t>BDL00008464</t>
  </si>
  <si>
    <t>BDL00008444</t>
  </si>
  <si>
    <t>BDL00008443</t>
  </si>
  <si>
    <t>BDL00008442</t>
  </si>
  <si>
    <t>BDL00008593</t>
  </si>
  <si>
    <t>BDL00008568</t>
  </si>
  <si>
    <t>BDL00008543</t>
  </si>
  <si>
    <t>BDL00008518</t>
  </si>
  <si>
    <t>BDL00008479</t>
  </si>
  <si>
    <t>BDL00008473</t>
  </si>
  <si>
    <t>BDL00008449</t>
  </si>
  <si>
    <t>BDL00008446</t>
  </si>
  <si>
    <t>BDL00008523</t>
  </si>
  <si>
    <t>BDL00008432</t>
  </si>
  <si>
    <t>BDL00008567</t>
  </si>
  <si>
    <t>BDL00008514</t>
  </si>
  <si>
    <t>BDL00008513</t>
  </si>
  <si>
    <t>BDL00008476</t>
  </si>
  <si>
    <t>BDL00008426</t>
  </si>
  <si>
    <t>BDL00008590</t>
  </si>
  <si>
    <t>DASHBOARD VISUEL - VUE GLOBALE</t>
  </si>
  <si>
    <t>📅 MOIS- ANNEE</t>
  </si>
  <si>
    <t>Chiffre d'affaires  HT</t>
  </si>
  <si>
    <t>PANIER MOYEN</t>
  </si>
  <si>
    <t>CLIENTS FIDÈLES</t>
  </si>
  <si>
    <t>⚠️ À RELANCER</t>
  </si>
  <si>
    <t>ACTIVITE GENERALE</t>
  </si>
  <si>
    <t xml:space="preserve">     </t>
  </si>
  <si>
    <t xml:space="preserve">CAP FRAIS </t>
  </si>
  <si>
    <t xml:space="preserve">centrale </t>
  </si>
  <si>
    <t xml:space="preserve">SUM de </t>
  </si>
  <si>
    <t>Total général</t>
  </si>
  <si>
    <t>CA (€)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</si>
</sst>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#,##0.00 €"/>
    <numFmt numFmtId="166" formatCode="#,##0 €"/>
    <numFmt numFmtId="167" formatCode="#,##0.00\ [$€-1]"/>
    <numFmt numFmtId="168" formatCode="dd/MM/yyyy"/>
    <numFmt numFmtId="169" formatCode="0.000"/>
    <numFmt numFmtId="170" formatCode="mmm yyyy"/>
  </numFmts>
  <fonts count="26">
    <font>
      <sz val="11.0"/>
      <color theme="1"/>
      <name val="Calibri"/>
      <scheme val="minor"/>
    </font>
    <font>
      <b/>
      <sz val="16.0"/>
      <color rgb="FF1B3F66"/>
      <name val="Calibri"/>
    </font>
    <font>
      <b/>
      <sz val="11.0"/>
      <color rgb="FFFFFFFF"/>
      <name val="Calibri"/>
    </font>
    <font>
      <b/>
      <sz val="10.0"/>
      <color rgb="FF1B3F66"/>
      <name val="Calibri"/>
      <scheme val="minor"/>
    </font>
    <font>
      <color theme="1"/>
      <name val="Calibri"/>
      <scheme val="minor"/>
    </font>
    <font>
      <b/>
      <sz val="12.0"/>
      <color rgb="FF333333"/>
      <name val="Calibri"/>
    </font>
    <font>
      <b/>
      <sz val="12.0"/>
      <color rgb="FFFFFFFF"/>
      <name val="Calibri"/>
    </font>
    <font/>
    <font>
      <sz val="10.0"/>
      <color theme="1"/>
      <name val="Calibri"/>
      <scheme val="minor"/>
    </font>
    <font>
      <sz val="11.0"/>
      <color theme="1"/>
      <name val="Arial"/>
    </font>
    <font>
      <b/>
      <sz val="14.0"/>
      <color rgb="FF1B3F66"/>
      <name val="Calibri"/>
      <scheme val="minor"/>
    </font>
    <font>
      <sz val="12.0"/>
      <color theme="1"/>
      <name val="Calibri"/>
      <scheme val="minor"/>
    </font>
    <font>
      <i/>
      <sz val="10.0"/>
      <color rgb="FF1B3F66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  <scheme val="minor"/>
    </font>
    <font>
      <color rgb="FF000000"/>
      <name val="Calibri"/>
      <scheme val="minor"/>
    </font>
    <font>
      <b/>
      <color rgb="FF85200C"/>
      <name val="Calibri"/>
      <scheme val="minor"/>
    </font>
    <font>
      <b/>
      <color rgb="FFA61C00"/>
      <name val="Calibri"/>
      <scheme val="minor"/>
    </font>
    <font>
      <sz val="14.0"/>
      <color theme="1"/>
      <name val="Calibri"/>
      <scheme val="minor"/>
    </font>
    <font>
      <sz val="14.0"/>
      <color theme="1"/>
      <name val="Calibri"/>
    </font>
    <font>
      <b/>
      <sz val="19.0"/>
      <color rgb="FF000000"/>
      <name val="Calibri"/>
      <scheme val="minor"/>
    </font>
    <font>
      <b/>
      <sz val="18.0"/>
      <color rgb="FF1B3F66"/>
      <name val="Calibri"/>
      <scheme val="minor"/>
    </font>
    <font>
      <b/>
      <sz val="16.0"/>
      <color theme="1"/>
      <name val="Calibri"/>
      <scheme val="minor"/>
    </font>
    <font>
      <b/>
      <sz val="17.0"/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B3F66"/>
        <bgColor rgb="FF1B3F66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D6DCE5"/>
        <bgColor rgb="FFD6DCE5"/>
      </patternFill>
    </fill>
    <fill>
      <patternFill patternType="solid">
        <fgColor rgb="FFFFF2CC"/>
        <bgColor rgb="FFFFF2CC"/>
      </patternFill>
    </fill>
    <fill>
      <patternFill patternType="solid">
        <fgColor rgb="FFF8F6F9"/>
        <bgColor rgb="FFF8F6F9"/>
      </patternFill>
    </fill>
    <fill>
      <patternFill patternType="solid">
        <fgColor rgb="FFD9EAD3"/>
        <bgColor rgb="FFD9EAD3"/>
      </patternFill>
    </fill>
    <fill>
      <patternFill patternType="solid">
        <fgColor rgb="FFE2EFDA"/>
        <bgColor rgb="FFE2EFDA"/>
      </patternFill>
    </fill>
    <fill>
      <patternFill patternType="solid">
        <fgColor rgb="FFFFCCCC"/>
        <bgColor rgb="FFFFCCCC"/>
      </patternFill>
    </fill>
    <fill>
      <patternFill patternType="solid">
        <fgColor rgb="FFE2F0D9"/>
        <bgColor rgb="FFE2F0D9"/>
      </patternFill>
    </fill>
    <fill>
      <patternFill patternType="solid">
        <fgColor rgb="FFF4CCCC"/>
        <bgColor rgb="FFF4CCC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Border="1" applyFill="1" applyFont="1"/>
    <xf borderId="0" fillId="0" fontId="3" numFmtId="0" xfId="0" applyAlignment="1" applyFont="1">
      <alignment readingOrder="0"/>
    </xf>
    <xf borderId="0" fillId="0" fontId="4" numFmtId="0" xfId="0" applyFont="1"/>
    <xf borderId="1" fillId="2" fontId="2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0" fontId="1" numFmtId="0" xfId="0" applyFont="1"/>
    <xf borderId="1" fillId="0" fontId="4" numFmtId="0" xfId="0" applyAlignment="1" applyBorder="1" applyFont="1">
      <alignment readingOrder="0"/>
    </xf>
    <xf borderId="0" fillId="3" fontId="4" numFmtId="0" xfId="0" applyFill="1" applyFont="1"/>
    <xf borderId="2" fillId="4" fontId="5" numFmtId="0" xfId="0" applyAlignment="1" applyBorder="1" applyFill="1" applyFont="1">
      <alignment readingOrder="0"/>
    </xf>
    <xf borderId="1" fillId="2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0" fontId="7" numFmtId="0" xfId="0" applyBorder="1" applyFont="1"/>
    <xf borderId="0" fillId="0" fontId="8" numFmtId="0" xfId="0" applyFont="1"/>
    <xf borderId="1" fillId="0" fontId="9" numFmtId="0" xfId="0" applyAlignment="1" applyBorder="1" applyFont="1">
      <alignment horizontal="center" vertical="bottom"/>
    </xf>
    <xf borderId="0" fillId="2" fontId="6" numFmtId="0" xfId="0" applyAlignment="1" applyFill="1" applyFont="1">
      <alignment horizontal="center" readingOrder="0" shrinkToFit="0" vertical="center" wrapText="1"/>
    </xf>
    <xf borderId="0" fillId="0" fontId="10" numFmtId="0" xfId="0" applyFont="1"/>
    <xf borderId="0" fillId="0" fontId="11" numFmtId="0" xfId="0" applyAlignment="1" applyFont="1">
      <alignment horizontal="center" vertical="center"/>
    </xf>
    <xf borderId="2" fillId="5" fontId="5" numFmtId="0" xfId="0" applyBorder="1" applyFill="1" applyFont="1"/>
    <xf borderId="0" fillId="0" fontId="12" numFmtId="0" xfId="0" applyAlignment="1" applyFont="1">
      <alignment readingOrder="0"/>
    </xf>
    <xf borderId="1" fillId="6" fontId="13" numFmtId="164" xfId="0" applyBorder="1" applyFill="1" applyFont="1" applyNumberFormat="1"/>
    <xf borderId="0" fillId="0" fontId="14" numFmtId="0" xfId="0" applyFont="1"/>
    <xf borderId="1" fillId="6" fontId="13" numFmtId="0" xfId="0" applyBorder="1" applyFill="1" applyFont="1"/>
    <xf borderId="5" fillId="6" fontId="13" numFmtId="0" xfId="0" applyAlignment="1" applyBorder="1" applyFill="1" applyFont="1">
      <alignment readingOrder="0"/>
    </xf>
    <xf borderId="6" fillId="2" fontId="2" numFmtId="0" xfId="0" applyBorder="1" applyFill="1" applyFont="1"/>
    <xf borderId="5" fillId="6" fontId="13" numFmtId="0" xfId="0" applyBorder="1" applyFill="1" applyFont="1"/>
    <xf borderId="1" fillId="0" fontId="13" numFmtId="0" xfId="0" applyBorder="1" applyFont="1"/>
    <xf borderId="1" fillId="0" fontId="9" numFmtId="0" xfId="0" applyAlignment="1" applyBorder="1" applyFont="1">
      <alignment horizontal="center" readingOrder="0" vertical="bottom"/>
    </xf>
    <xf borderId="1" fillId="0" fontId="13" numFmtId="165" xfId="0" applyBorder="1" applyFont="1" applyNumberFormat="1"/>
    <xf borderId="1" fillId="7" fontId="13" numFmtId="0" xfId="0" applyAlignment="1" applyBorder="1" applyFill="1" applyFont="1">
      <alignment horizontal="center"/>
    </xf>
    <xf borderId="1" fillId="6" fontId="13" numFmtId="165" xfId="0" applyBorder="1" applyFill="1" applyFont="1" applyNumberFormat="1"/>
    <xf borderId="1" fillId="8" fontId="13" numFmtId="165" xfId="0" applyBorder="1" applyFill="1" applyFont="1" applyNumberFormat="1"/>
    <xf borderId="1" fillId="0" fontId="13" numFmtId="10" xfId="0" applyBorder="1" applyFont="1" applyNumberFormat="1"/>
    <xf borderId="1" fillId="3" fontId="13" numFmtId="9" xfId="0" applyBorder="1" applyFill="1" applyFont="1" applyNumberFormat="1"/>
    <xf borderId="1" fillId="0" fontId="15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horizontal="center" readingOrder="0" vertical="bottom"/>
    </xf>
    <xf borderId="2" fillId="5" fontId="5" numFmtId="0" xfId="0" applyAlignment="1" applyBorder="1" applyFill="1" applyFont="1">
      <alignment readingOrder="0"/>
    </xf>
    <xf borderId="1" fillId="9" fontId="13" numFmtId="165" xfId="0" applyBorder="1" applyFill="1" applyFont="1" applyNumberFormat="1"/>
    <xf borderId="1" fillId="6" fontId="13" numFmtId="9" xfId="0" applyBorder="1" applyFill="1" applyFont="1" applyNumberFormat="1"/>
    <xf borderId="1" fillId="7" fontId="13" numFmtId="0" xfId="0" applyBorder="1" applyFill="1" applyFont="1"/>
    <xf borderId="2" fillId="10" fontId="5" numFmtId="0" xfId="0" applyAlignment="1" applyBorder="1" applyFill="1" applyFont="1">
      <alignment readingOrder="0"/>
    </xf>
    <xf borderId="0" fillId="0" fontId="13" numFmtId="0" xfId="0" applyAlignment="1" applyFont="1">
      <alignment vertical="bottom"/>
    </xf>
    <xf borderId="1" fillId="6" fontId="13" numFmtId="0" xfId="0" applyAlignment="1" applyBorder="1" applyFill="1" applyFont="1">
      <alignment readingOrder="0"/>
    </xf>
    <xf borderId="1" fillId="0" fontId="13" numFmtId="0" xfId="0" applyAlignment="1" applyBorder="1" applyFont="1">
      <alignment horizontal="center" vertical="bottom"/>
    </xf>
    <xf borderId="1" fillId="3" fontId="4" numFmtId="0" xfId="0" applyBorder="1" applyFill="1" applyFont="1"/>
    <xf borderId="6" fillId="2" fontId="2" numFmtId="0" xfId="0" applyAlignment="1" applyBorder="1" applyFill="1" applyFont="1">
      <alignment horizontal="left" shrinkToFit="0" vertical="center" wrapText="1"/>
    </xf>
    <xf borderId="6" fillId="2" fontId="2" numFmtId="0" xfId="0" applyAlignment="1" applyBorder="1" applyFill="1" applyFont="1">
      <alignment horizontal="center" shrinkToFit="0" vertical="center" wrapText="1"/>
    </xf>
    <xf borderId="6" fillId="2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3" numFmtId="166" xfId="0" applyBorder="1" applyFont="1" applyNumberFormat="1"/>
    <xf borderId="1" fillId="9" fontId="13" numFmtId="166" xfId="0" applyBorder="1" applyFill="1" applyFont="1" applyNumberFormat="1"/>
    <xf borderId="1" fillId="9" fontId="13" numFmtId="0" xfId="0" applyBorder="1" applyFill="1" applyFont="1"/>
    <xf borderId="5" fillId="10" fontId="13" numFmtId="0" xfId="0" applyBorder="1" applyFill="1" applyFont="1"/>
    <xf borderId="1" fillId="0" fontId="4" numFmtId="167" xfId="0" applyBorder="1" applyFont="1" applyNumberFormat="1"/>
    <xf borderId="1" fillId="10" fontId="13" numFmtId="0" xfId="0" applyBorder="1" applyFill="1" applyFont="1"/>
    <xf borderId="1" fillId="2" fontId="2" numFmtId="167" xfId="0" applyAlignment="1" applyBorder="1" applyFill="1" applyFont="1" applyNumberFormat="1">
      <alignment horizontal="center"/>
    </xf>
    <xf borderId="1" fillId="2" fontId="2" numFmtId="0" xfId="0" applyAlignment="1" applyBorder="1" applyFill="1" applyFont="1">
      <alignment horizontal="center" readingOrder="0"/>
    </xf>
    <xf borderId="1" fillId="0" fontId="13" numFmtId="167" xfId="0" applyBorder="1" applyFont="1" applyNumberFormat="1"/>
    <xf borderId="1" fillId="0" fontId="13" numFmtId="168" xfId="0" applyBorder="1" applyFont="1" applyNumberFormat="1"/>
    <xf borderId="1" fillId="0" fontId="13" numFmtId="4" xfId="0" applyBorder="1" applyFont="1" applyNumberFormat="1"/>
    <xf borderId="1" fillId="0" fontId="13" numFmtId="169" xfId="0" applyBorder="1" applyFont="1" applyNumberFormat="1"/>
    <xf borderId="1" fillId="0" fontId="13" numFmtId="0" xfId="0" applyAlignment="1" applyBorder="1" applyFont="1">
      <alignment horizontal="center"/>
    </xf>
    <xf borderId="1" fillId="5" fontId="14" numFmtId="0" xfId="0" applyBorder="1" applyFill="1" applyFont="1"/>
    <xf borderId="1" fillId="5" fontId="14" numFmtId="166" xfId="0" applyBorder="1" applyFill="1" applyFont="1" applyNumberFormat="1"/>
    <xf borderId="1" fillId="5" fontId="14" numFmtId="10" xfId="0" applyBorder="1" applyFill="1" applyFont="1" applyNumberFormat="1"/>
    <xf borderId="1" fillId="5" fontId="14" numFmtId="167" xfId="0" applyBorder="1" applyFill="1" applyFont="1" applyNumberFormat="1"/>
    <xf borderId="2" fillId="11" fontId="5" numFmtId="0" xfId="0" applyAlignment="1" applyBorder="1" applyFill="1" applyFont="1">
      <alignment readingOrder="0"/>
    </xf>
    <xf borderId="3" fillId="11" fontId="5" numFmtId="0" xfId="0" applyBorder="1" applyFill="1" applyFont="1"/>
    <xf borderId="1" fillId="2" fontId="2" numFmtId="170" xfId="0" applyAlignment="1" applyBorder="1" applyFill="1" applyFont="1" applyNumberFormat="1">
      <alignment readingOrder="0"/>
    </xf>
    <xf borderId="1" fillId="2" fontId="2" numFmtId="0" xfId="0" applyAlignment="1" applyBorder="1" applyFill="1" applyFont="1">
      <alignment horizontal="right" readingOrder="0"/>
    </xf>
    <xf borderId="1" fillId="0" fontId="4" numFmtId="0" xfId="0" applyBorder="1" applyFont="1"/>
    <xf borderId="0" fillId="0" fontId="4" numFmtId="167" xfId="0" applyFont="1" applyNumberFormat="1"/>
    <xf borderId="0" fillId="0" fontId="4" numFmtId="0" xfId="0" applyAlignment="1" applyFont="1">
      <alignment readingOrder="0"/>
    </xf>
    <xf borderId="0" fillId="0" fontId="14" numFmtId="0" xfId="0" applyFont="1"/>
    <xf borderId="2" fillId="6" fontId="5" numFmtId="0" xfId="0" applyBorder="1" applyFill="1" applyFont="1"/>
    <xf borderId="1" fillId="2" fontId="2" numFmtId="0" xfId="0" applyAlignment="1" applyBorder="1" applyFill="1" applyFont="1">
      <alignment readingOrder="0"/>
    </xf>
    <xf borderId="1" fillId="0" fontId="4" numFmtId="165" xfId="0" applyBorder="1" applyFont="1" applyNumberFormat="1"/>
    <xf borderId="1" fillId="0" fontId="4" numFmtId="10" xfId="0" applyBorder="1" applyFont="1" applyNumberFormat="1"/>
    <xf borderId="0" fillId="0" fontId="14" numFmtId="10" xfId="0" applyFont="1" applyNumberFormat="1"/>
    <xf borderId="1" fillId="0" fontId="13" numFmtId="0" xfId="0" applyAlignment="1" applyBorder="1" applyFont="1">
      <alignment readingOrder="0"/>
    </xf>
    <xf borderId="1" fillId="6" fontId="13" numFmtId="165" xfId="0" applyAlignment="1" applyBorder="1" applyFill="1" applyFont="1" applyNumberFormat="1">
      <alignment readingOrder="0"/>
    </xf>
    <xf borderId="3" fillId="6" fontId="5" numFmtId="0" xfId="0" applyBorder="1" applyFill="1" applyFont="1"/>
    <xf borderId="1" fillId="6" fontId="14" numFmtId="0" xfId="0" applyAlignment="1" applyBorder="1" applyFill="1" applyFont="1">
      <alignment readingOrder="0"/>
    </xf>
    <xf borderId="6" fillId="0" fontId="13" numFmtId="0" xfId="0" applyAlignment="1" applyBorder="1" applyFont="1">
      <alignment readingOrder="0"/>
    </xf>
    <xf borderId="6" fillId="0" fontId="13" numFmtId="0" xfId="0" applyBorder="1" applyFont="1"/>
    <xf borderId="1" fillId="0" fontId="14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7" fillId="12" fontId="14" numFmtId="0" xfId="0" applyAlignment="1" applyBorder="1" applyFill="1" applyFont="1">
      <alignment horizontal="center" readingOrder="0"/>
    </xf>
    <xf borderId="8" fillId="0" fontId="7" numFmtId="0" xfId="0" applyBorder="1" applyFont="1"/>
    <xf borderId="9" fillId="0" fontId="7" numFmtId="0" xfId="0" applyBorder="1" applyFont="1"/>
    <xf borderId="7" fillId="0" fontId="4" numFmtId="0" xfId="0" applyBorder="1" applyFont="1"/>
    <xf borderId="10" fillId="6" fontId="16" numFmtId="0" xfId="0" applyAlignment="1" applyBorder="1" applyFill="1" applyFont="1">
      <alignment horizontal="center" readingOrder="0"/>
    </xf>
    <xf borderId="11" fillId="0" fontId="7" numFmtId="0" xfId="0" applyBorder="1" applyFont="1"/>
    <xf borderId="12" fillId="6" fontId="16" numFmtId="0" xfId="0" applyAlignment="1" applyBorder="1" applyFill="1" applyFont="1">
      <alignment readingOrder="0"/>
    </xf>
    <xf borderId="10" fillId="0" fontId="4" numFmtId="0" xfId="0" applyBorder="1" applyFont="1"/>
    <xf borderId="13" fillId="0" fontId="4" numFmtId="0" xfId="0" applyBorder="1" applyFont="1"/>
    <xf borderId="10" fillId="0" fontId="4" numFmtId="0" xfId="0" applyAlignment="1" applyBorder="1" applyFont="1">
      <alignment vertical="top"/>
    </xf>
    <xf borderId="11" fillId="0" fontId="4" numFmtId="0" xfId="0" applyAlignment="1" applyBorder="1" applyFont="1">
      <alignment vertical="top"/>
    </xf>
    <xf borderId="14" fillId="0" fontId="4" numFmtId="0" xfId="0" applyBorder="1" applyFont="1"/>
    <xf borderId="14" fillId="0" fontId="4" numFmtId="0" xfId="0" applyAlignment="1" applyBorder="1" applyFont="1">
      <alignment vertical="top"/>
    </xf>
    <xf borderId="15" fillId="0" fontId="4" numFmtId="0" xfId="0" applyAlignment="1" applyBorder="1" applyFont="1">
      <alignment vertical="top"/>
    </xf>
    <xf borderId="15" fillId="0" fontId="4" numFmtId="0" xfId="0" applyBorder="1" applyFont="1"/>
    <xf borderId="14" fillId="0" fontId="17" numFmtId="0" xfId="0" applyAlignment="1" applyBorder="1" applyFont="1">
      <alignment horizontal="left" readingOrder="0"/>
    </xf>
    <xf borderId="0" fillId="0" fontId="18" numFmtId="0" xfId="0" applyAlignment="1" applyFont="1">
      <alignment horizontal="left" readingOrder="0"/>
    </xf>
    <xf borderId="15" fillId="0" fontId="19" numFmtId="0" xfId="0" applyAlignment="1" applyBorder="1" applyFont="1">
      <alignment readingOrder="0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" fillId="6" fontId="13" numFmtId="167" xfId="0" applyAlignment="1" applyBorder="1" applyFill="1" applyFont="1" applyNumberFormat="1">
      <alignment horizontal="right" readingOrder="0"/>
    </xf>
    <xf borderId="0" fillId="0" fontId="20" numFmtId="0" xfId="0" applyFont="1"/>
    <xf borderId="0" fillId="0" fontId="21" numFmtId="0" xfId="0" applyAlignment="1" applyFont="1">
      <alignment readingOrder="0" vertical="bottom"/>
    </xf>
    <xf borderId="1" fillId="0" fontId="4" numFmtId="0" xfId="0" applyAlignment="1" applyBorder="1" applyFont="1">
      <alignment readingOrder="0" shrinkToFit="0" wrapText="1"/>
    </xf>
    <xf borderId="1" fillId="6" fontId="13" numFmtId="164" xfId="0" applyAlignment="1" applyBorder="1" applyFill="1" applyFont="1" applyNumberFormat="1">
      <alignment readingOrder="0"/>
    </xf>
    <xf borderId="1" fillId="7" fontId="4" numFmtId="0" xfId="0" applyAlignment="1" applyBorder="1" applyFill="1" applyFont="1">
      <alignment horizontal="center"/>
    </xf>
    <xf borderId="0" fillId="8" fontId="4" numFmtId="0" xfId="0" applyFill="1" applyFont="1"/>
    <xf borderId="0" fillId="7" fontId="4" numFmtId="0" xfId="0" applyFill="1" applyFont="1"/>
    <xf borderId="0" fillId="0" fontId="11" numFmtId="0" xfId="0" applyAlignment="1" applyFont="1">
      <alignment readingOrder="0"/>
    </xf>
    <xf borderId="7" fillId="0" fontId="22" numFmtId="0" xfId="0" applyAlignment="1" applyBorder="1" applyFont="1">
      <alignment readingOrder="0"/>
    </xf>
    <xf borderId="7" fillId="0" fontId="22" numFmtId="0" xfId="0" applyAlignment="1" applyBorder="1" applyFont="1">
      <alignment horizontal="center" readingOrder="0"/>
    </xf>
    <xf borderId="7" fillId="0" fontId="23" numFmtId="165" xfId="0" applyAlignment="1" applyBorder="1" applyFont="1" applyNumberFormat="1">
      <alignment horizontal="center"/>
    </xf>
    <xf borderId="7" fillId="0" fontId="23" numFmtId="0" xfId="0" applyAlignment="1" applyBorder="1" applyFont="1">
      <alignment horizontal="center"/>
    </xf>
    <xf borderId="7" fillId="0" fontId="23" numFmtId="0" xfId="0" applyBorder="1" applyFont="1"/>
    <xf borderId="0" fillId="0" fontId="2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165" xfId="0" applyFont="1" applyNumberFormat="1"/>
    <xf borderId="0" fillId="0" fontId="25" numFmtId="0" xfId="0" applyAlignment="1" applyFont="1">
      <alignment readingOrder="0"/>
    </xf>
    <xf borderId="1" fillId="0" fontId="13" numFmtId="3" xfId="0" applyBorder="1" applyFont="1" applyNumberFormat="1"/>
    <xf borderId="0" fillId="7" fontId="4" numFmtId="0" xfId="0" applyAlignment="1" applyFill="1" applyFont="1">
      <alignment horizontal="center"/>
    </xf>
  </cellXfs>
  <cellStyles count="1">
    <cellStyle xfId="0" name="Normal" builtinId="0"/>
  </cellStyles>
  <dxfs count="2"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Nbre de BL MOIS EN COURS Vs  MOIS PRÉCÉDENT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'SUIVI MENSUEL COMPLET'!$A$8:$A$9</c:f>
            </c:strRef>
          </c:cat>
          <c:val>
            <c:numRef>
              <c:f>'SUIVI MENSUEL COMPLET'!$B$8:$B$9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'SUIVI MENSUEL COMPLET'!$A$8:$A$9</c:f>
            </c:strRef>
          </c:cat>
          <c:val>
            <c:numRef>
              <c:f>'SUIVI MENSUEL COMPLET'!$C$8:$C$9</c:f>
              <c:numCache/>
            </c:numRef>
          </c:val>
        </c:ser>
        <c:axId val="169082347"/>
        <c:axId val="171750466"/>
      </c:barChart>
      <c:catAx>
        <c:axId val="1690823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50466"/>
      </c:catAx>
      <c:valAx>
        <c:axId val="1717504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0823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'SUIVI MENSUEL COMPLET'!$F$15:$G$15</c:f>
            </c:strRef>
          </c:cat>
          <c:val>
            <c:numRef>
              <c:f>'SUIVI MENSUEL COMPLET'!$F$16:$G$16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'SUIVI MENSUEL COMPLET'!$A$17</c:f>
            </c:strRef>
          </c:cat>
          <c:val>
            <c:numRef>
              <c:f>'SUIVI MENSUEL COMPLET'!$B$17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'SUIVI MENSUEL COMPLET'!$A$17</c:f>
            </c:strRef>
          </c:cat>
          <c:val>
            <c:numRef>
              <c:f>'SUIVI MENSUEL COMPLET'!$C$17</c:f>
              <c:numCache/>
            </c:numRef>
          </c:val>
        </c:ser>
        <c:axId val="2009691983"/>
        <c:axId val="1890054244"/>
      </c:bar3DChart>
      <c:catAx>
        <c:axId val="2009691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1890054244"/>
      </c:catAx>
      <c:valAx>
        <c:axId val="1890054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black"/>
                  </a:defRPr>
                </a:pPr>
                <a:r>
                  <a:rPr b="0">
                    <a:solidFill>
                      <a:srgbClr val="000000"/>
                    </a:solidFill>
                    <a:latin typeface="Arial black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black"/>
              </a:defRPr>
            </a:pPr>
          </a:p>
        </c:txPr>
        <c:crossAx val="2009691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Arial black"/>
            </a:defRPr>
          </a:pPr>
        </a:p>
      </c:txPr>
    </c:legend>
    <c:plotVisOnly val="1"/>
  </c:chart>
  <c:spPr>
    <a:solidFill>
      <a:srgbClr val="FFF2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'SUIVI MENSUEL COMPLET'!$B$26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'SUIVI MENSUEL COMPLET'!$C$26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'SUIVI MENSUEL COMPLET'!$D$26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'SUIVI MENSUEL COMPLET'!$E$26</c:f>
              <c:numCache/>
            </c:numRef>
          </c:val>
        </c:ser>
        <c:ser>
          <c:idx val="4"/>
          <c:order val="4"/>
          <c:spPr>
            <a:solidFill>
              <a:schemeClr val="accent5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'SUIVI MENSUEL COMPLET'!$F$26</c:f>
              <c:numCache/>
            </c:numRef>
          </c:val>
        </c:ser>
        <c:ser>
          <c:idx val="5"/>
          <c:order val="5"/>
          <c:spPr>
            <a:solidFill>
              <a:schemeClr val="accent6"/>
            </a:solidFill>
            <a:ln cmpd="sng">
              <a:noFill/>
            </a:ln>
          </c:spPr>
          <c:val>
            <c:numRef>
              <c:f>'SUIVI MENSUEL COMPLET'!$G$26</c:f>
              <c:numCache/>
            </c:numRef>
          </c:val>
        </c:ser>
        <c:ser>
          <c:idx val="6"/>
          <c:order val="6"/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val>
            <c:numRef>
              <c:f>'SUIVI MENSUEL COMPLET'!$H$26</c:f>
              <c:numCache/>
            </c:numRef>
          </c:val>
        </c:ser>
        <c:ser>
          <c:idx val="7"/>
          <c:order val="7"/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val>
            <c:numRef>
              <c:f>'SUIVI MENSUEL COMPLET'!$I$26</c:f>
              <c:numCache/>
            </c:numRef>
          </c:val>
        </c:ser>
        <c:ser>
          <c:idx val="8"/>
          <c:order val="8"/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val>
            <c:numRef>
              <c:f>'SUIVI MENSUEL COMPLET'!$J$26</c:f>
              <c:numCache/>
            </c:numRef>
          </c:val>
        </c:ser>
        <c:ser>
          <c:idx val="9"/>
          <c:order val="9"/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val>
            <c:numRef>
              <c:f>'SUIVI MENSUEL COMPLET'!$K$26</c:f>
              <c:numCache/>
            </c:numRef>
          </c:val>
        </c:ser>
        <c:ser>
          <c:idx val="10"/>
          <c:order val="10"/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val>
            <c:numRef>
              <c:f>'SUIVI MENSUEL COMPLET'!$L$26</c:f>
              <c:numCache/>
            </c:numRef>
          </c:val>
        </c:ser>
        <c:ser>
          <c:idx val="11"/>
          <c:order val="11"/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val>
            <c:numRef>
              <c:f>'SUIVI MENSUEL COMPLET'!$M$26</c:f>
              <c:numCache/>
            </c:numRef>
          </c:val>
        </c:ser>
        <c:ser>
          <c:idx val="12"/>
          <c:order val="12"/>
          <c:spPr>
            <a:solidFill>
              <a:schemeClr val="accent1">
                <a:lumOff val="60000"/>
              </a:schemeClr>
            </a:solidFill>
            <a:ln cmpd="sng">
              <a:noFill/>
            </a:ln>
          </c:spPr>
          <c:val>
            <c:numRef>
              <c:f>'SUIVI MENSUEL COMPLET'!$N$26</c:f>
              <c:numCache/>
            </c:numRef>
          </c:val>
        </c:ser>
        <c:axId val="516815830"/>
        <c:axId val="942693163"/>
      </c:barChart>
      <c:catAx>
        <c:axId val="516815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693163"/>
      </c:catAx>
      <c:valAx>
        <c:axId val="942693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815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'SUIVI MENSUEL COMPLET'!$A$25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'SUIVI MENSUEL COMPLET'!$B$24:$F$24</c:f>
            </c:strRef>
          </c:cat>
          <c:val>
            <c:numRef>
              <c:f>'SUIVI MENSUEL COMPLET'!$B$25:$F$25</c:f>
              <c:numCache/>
            </c:numRef>
          </c:val>
        </c:ser>
        <c:axId val="1635256997"/>
        <c:axId val="1995033283"/>
      </c:barChart>
      <c:catAx>
        <c:axId val="1635256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5033283"/>
      </c:catAx>
      <c:valAx>
        <c:axId val="19950332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5256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'SUIVI MENSUEL COMPLET'!$A$31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'SUIVI MENSUEL COMPLET'!$B$30:$F$30</c:f>
            </c:strRef>
          </c:cat>
          <c:val>
            <c:numRef>
              <c:f>'SUIVI MENSUEL COMPLET'!$B$31:$F$31</c:f>
              <c:numCache/>
            </c:numRef>
          </c:val>
        </c:ser>
        <c:axId val="397023989"/>
        <c:axId val="1727462048"/>
      </c:barChart>
      <c:catAx>
        <c:axId val="3970239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7462048"/>
      </c:catAx>
      <c:valAx>
        <c:axId val="1727462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0239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 CENTRALE par rapport à AGENT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'SUIVI MENSUEL COMPLET'!$C$14:$C$15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'SUIVI MENSUEL COMPLET'!$A$16:$A$19</c:f>
            </c:strRef>
          </c:cat>
          <c:val>
            <c:numRef>
              <c:f>'SUIVI MENSUEL COMPLET'!$C$16:$C$19</c:f>
              <c:numCache/>
            </c:numRef>
          </c:val>
        </c:ser>
        <c:axId val="177511143"/>
        <c:axId val="2095115601"/>
      </c:barChart>
      <c:catAx>
        <c:axId val="1775111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115601"/>
      </c:catAx>
      <c:valAx>
        <c:axId val="2095115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 CENTRALE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111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 DIRECT par rapport à AGENT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'SUIVI MENSUEL COMPLET'!$B$14:$B$15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'SUIVI MENSUEL COMPLET'!$A$16:$A$19</c:f>
            </c:strRef>
          </c:cat>
          <c:val>
            <c:numRef>
              <c:f>'SUIVI MENSUEL COMPLET'!$B$16:$B$19</c:f>
              <c:numCache/>
            </c:numRef>
          </c:val>
        </c:ser>
        <c:axId val="333994131"/>
        <c:axId val="1119197487"/>
      </c:barChart>
      <c:catAx>
        <c:axId val="333994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9197487"/>
      </c:catAx>
      <c:valAx>
        <c:axId val="1119197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 DIRECT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9941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EVOLUTION CA TOTAL (€) par mois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'SUIVI MENSUEL COMPLET'!$A$38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'SUIVI MENSUEL COMPLET'!$B$37:$M$37</c:f>
            </c:strRef>
          </c:cat>
          <c:val>
            <c:numRef>
              <c:f>'SUIVI MENSUEL COMPLET'!$B$38:$M$38</c:f>
              <c:numCache/>
            </c:numRef>
          </c:val>
        </c:ser>
        <c:axId val="1732523869"/>
        <c:axId val="1289266885"/>
      </c:areaChart>
      <c:catAx>
        <c:axId val="173252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266885"/>
      </c:catAx>
      <c:valAx>
        <c:axId val="1289266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 TOTAL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25238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EVOLUTION CA TOTAL (€) par mois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'SUIVI MENSUEL COMPLET'!$A$38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'SUIVI MENSUEL COMPLET'!$B$37:$M$37</c:f>
            </c:strRef>
          </c:cat>
          <c:val>
            <c:numRef>
              <c:f>'SUIVI MENSUEL COMPLET'!$B$38:$M$38</c:f>
              <c:numCache/>
            </c:numRef>
          </c:val>
        </c:ser>
        <c:axId val="412835607"/>
        <c:axId val="1190284504"/>
      </c:areaChart>
      <c:catAx>
        <c:axId val="412835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INDICATEUR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0284504"/>
      </c:catAx>
      <c:valAx>
        <c:axId val="1190284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 TOTAL (€)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28356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11" Type="http://schemas.openxmlformats.org/officeDocument/2006/relationships/chart" Target="../charts/chart10.xml"/><Relationship Id="rId10" Type="http://schemas.openxmlformats.org/officeDocument/2006/relationships/chart" Target="../charts/chart9.xml"/><Relationship Id="rId12" Type="http://schemas.openxmlformats.org/officeDocument/2006/relationships/image" Target="../media/Chart12.png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209550</xdr:colOff>
      <xdr:row>12</xdr:row>
      <xdr:rowOff>171450</xdr:rowOff>
    </xdr:from>
    <xdr:ext cx="4048125" cy="25622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28</xdr:row>
      <xdr:rowOff>180975</xdr:rowOff>
    </xdr:from>
    <xdr:ext cx="5105400" cy="2981325"/>
    <xdr:pic>
      <xdr:nvPicPr>
        <xdr:cNvPr id="924842383" name="Chart2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28</xdr:row>
      <xdr:rowOff>180975</xdr:rowOff>
    </xdr:from>
    <xdr:ext cx="4752975" cy="298132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409575</xdr:colOff>
      <xdr:row>46</xdr:row>
      <xdr:rowOff>66675</xdr:rowOff>
    </xdr:from>
    <xdr:ext cx="4924425" cy="304800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6</xdr:col>
      <xdr:colOff>295275</xdr:colOff>
      <xdr:row>46</xdr:row>
      <xdr:rowOff>47625</xdr:rowOff>
    </xdr:from>
    <xdr:ext cx="4924425" cy="304800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161925</xdr:colOff>
      <xdr:row>28</xdr:row>
      <xdr:rowOff>152400</xdr:rowOff>
    </xdr:from>
    <xdr:ext cx="4924425" cy="3048000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28575</xdr:colOff>
      <xdr:row>28</xdr:row>
      <xdr:rowOff>142875</xdr:rowOff>
    </xdr:from>
    <xdr:ext cx="4933950" cy="3048000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85725</xdr:colOff>
      <xdr:row>12</xdr:row>
      <xdr:rowOff>171450</xdr:rowOff>
    </xdr:from>
    <xdr:ext cx="4124325" cy="2562225"/>
    <xdr:graphicFrame>
      <xdr:nvGraphicFramePr>
        <xdr:cNvPr id="8" name="Chart 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304800</xdr:colOff>
      <xdr:row>12</xdr:row>
      <xdr:rowOff>171450</xdr:rowOff>
    </xdr:from>
    <xdr:ext cx="4124325" cy="2562225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409575</xdr:colOff>
      <xdr:row>64</xdr:row>
      <xdr:rowOff>19050</xdr:rowOff>
    </xdr:from>
    <xdr:ext cx="5715000" cy="353377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16</xdr:col>
      <xdr:colOff>19050</xdr:colOff>
      <xdr:row>12</xdr:row>
      <xdr:rowOff>171450</xdr:rowOff>
    </xdr:from>
    <xdr:ext cx="4162425" cy="2562225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7</xdr:col>
      <xdr:colOff>381000</xdr:colOff>
      <xdr:row>64</xdr:row>
      <xdr:rowOff>0</xdr:rowOff>
    </xdr:from>
    <xdr:ext cx="5715000" cy="3533775"/>
    <xdr:pic>
      <xdr:nvPicPr>
        <xdr:cNvPr id="127551283" name="Chart12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123825</xdr:rowOff>
    </xdr:from>
    <xdr:ext cx="1752600" cy="676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66675</xdr:rowOff>
    </xdr:from>
    <xdr:ext cx="1895475" cy="438150"/>
    <xdr:sp>
      <xdr:nvSpPr>
        <xdr:cNvPr id="3" name="Shape 3"/>
        <xdr:cNvSpPr/>
      </xdr:nvSpPr>
      <xdr:spPr>
        <a:xfrm>
          <a:off x="3596450" y="1066200"/>
          <a:ext cx="1877700" cy="421800"/>
        </a:xfrm>
        <a:prstGeom prst="roundRect">
          <a:avLst>
            <a:gd fmla="val 16667" name="adj"/>
          </a:avLst>
        </a:prstGeom>
        <a:solidFill>
          <a:srgbClr val="FF990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envoyerMailAgent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5.0"/>
    <col customWidth="1" min="3" max="4" width="20.0"/>
    <col customWidth="1" min="5" max="26" width="8.71"/>
  </cols>
  <sheetData>
    <row r="2">
      <c r="B2" s="7" t="s">
        <v>0</v>
      </c>
    </row>
    <row r="4">
      <c r="B4" s="10" t="s">
        <v>8</v>
      </c>
      <c r="C4" s="12"/>
      <c r="D4" s="12"/>
      <c r="E4" s="12"/>
      <c r="F4" s="13"/>
    </row>
    <row r="5">
      <c r="B5" s="14" t="s">
        <v>13</v>
      </c>
    </row>
    <row r="6">
      <c r="B6" s="14" t="s">
        <v>17</v>
      </c>
    </row>
    <row r="7">
      <c r="B7" s="14" t="s">
        <v>21</v>
      </c>
    </row>
    <row r="8">
      <c r="B8" s="14" t="s">
        <v>23</v>
      </c>
    </row>
    <row r="11">
      <c r="B11" s="19" t="s">
        <v>24</v>
      </c>
      <c r="C11" s="12"/>
      <c r="D11" s="13"/>
    </row>
    <row r="13">
      <c r="B13" s="22" t="s">
        <v>27</v>
      </c>
      <c r="C13" s="24" t="s">
        <v>35</v>
      </c>
    </row>
    <row r="14">
      <c r="B14" s="22" t="s">
        <v>38</v>
      </c>
      <c r="C14" s="26">
        <v>2026.0</v>
      </c>
    </row>
    <row r="16">
      <c r="B16" s="4" t="s">
        <v>44</v>
      </c>
      <c r="C16" s="4">
        <f t="array" ref="C16">MATCH(C13,{"Janvier","Février","Mars","Avril","Mai","Juin","Juillet","Août","Septembre","Octobre","Novembre","Décembre"},0)</f>
        <v>8</v>
      </c>
    </row>
    <row r="18">
      <c r="B18" s="37" t="s">
        <v>72</v>
      </c>
      <c r="C18" s="12"/>
      <c r="D18" s="13"/>
    </row>
    <row r="19">
      <c r="B19" s="2" t="s">
        <v>5</v>
      </c>
      <c r="C19" s="2" t="s">
        <v>15</v>
      </c>
    </row>
    <row r="20">
      <c r="B20" s="27" t="s">
        <v>28</v>
      </c>
      <c r="C20" s="39">
        <v>0.07</v>
      </c>
    </row>
    <row r="21" ht="15.75" customHeight="1">
      <c r="B21" s="27" t="s">
        <v>19</v>
      </c>
      <c r="C21" s="39">
        <v>0.05</v>
      </c>
    </row>
    <row r="22" ht="15.75" customHeight="1"/>
    <row r="23" ht="15.75" customHeight="1"/>
    <row r="24" ht="15.75" customHeight="1">
      <c r="B24" s="41" t="s">
        <v>81</v>
      </c>
      <c r="C24" s="12"/>
      <c r="D24" s="13"/>
    </row>
    <row r="25" ht="15.75" customHeight="1">
      <c r="B25" s="4" t="s">
        <v>83</v>
      </c>
      <c r="C25" s="23">
        <v>2.0</v>
      </c>
      <c r="D25" s="4" t="s">
        <v>84</v>
      </c>
    </row>
    <row r="26" ht="15.75" customHeight="1"/>
    <row r="27" ht="15.75" customHeight="1"/>
    <row r="28" ht="15.75" customHeight="1">
      <c r="B28" s="42"/>
      <c r="C28" s="42"/>
    </row>
    <row r="29" ht="15.75" customHeight="1"/>
    <row r="30" ht="15.75" customHeight="1">
      <c r="B30" s="42"/>
      <c r="C30" s="4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4:F4"/>
    <mergeCell ref="B5:F5"/>
    <mergeCell ref="B6:F6"/>
    <mergeCell ref="B7:F7"/>
    <mergeCell ref="B8:F8"/>
    <mergeCell ref="B11:D11"/>
    <mergeCell ref="B18:D18"/>
    <mergeCell ref="B24:D24"/>
  </mergeCells>
  <dataValidations>
    <dataValidation type="list" allowBlank="1" sqref="C14">
      <formula1>"2024,2025,2026,2027"</formula1>
    </dataValidation>
    <dataValidation type="list" allowBlank="1" sqref="C13">
      <formula1>"Janvier,Février,Mars,Avril,Mai,Juin,Juillet,Août,Septembre,Octobre,Novembre,Décembre"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5.86"/>
    <col customWidth="1" min="3" max="3" width="20.0"/>
    <col customWidth="1" min="4" max="4" width="22.71"/>
    <col customWidth="1" min="5" max="7" width="8.71"/>
    <col customWidth="1" min="8" max="8" width="38.71"/>
    <col customWidth="1" min="9" max="25" width="8.71"/>
  </cols>
  <sheetData>
    <row r="1">
      <c r="B1" s="2" t="s">
        <v>2</v>
      </c>
      <c r="C1" s="5" t="s">
        <v>5</v>
      </c>
      <c r="D1" s="5" t="s">
        <v>6</v>
      </c>
    </row>
    <row r="2">
      <c r="B2" s="8" t="s">
        <v>7</v>
      </c>
      <c r="C2" s="15" t="s">
        <v>19</v>
      </c>
      <c r="D2" s="15" t="s">
        <v>25</v>
      </c>
      <c r="G2" s="20" t="s">
        <v>26</v>
      </c>
    </row>
    <row r="3">
      <c r="B3" s="8"/>
      <c r="C3" s="15" t="s">
        <v>28</v>
      </c>
      <c r="D3" s="15" t="s">
        <v>29</v>
      </c>
    </row>
    <row r="4">
      <c r="B4" s="8" t="s">
        <v>32</v>
      </c>
      <c r="C4" s="15" t="s">
        <v>28</v>
      </c>
      <c r="D4" s="15" t="s">
        <v>29</v>
      </c>
    </row>
    <row r="5">
      <c r="B5" s="8" t="s">
        <v>33</v>
      </c>
      <c r="C5" s="15" t="s">
        <v>28</v>
      </c>
      <c r="D5" s="15" t="s">
        <v>29</v>
      </c>
    </row>
    <row r="6">
      <c r="B6" s="8" t="s">
        <v>34</v>
      </c>
      <c r="C6" s="15" t="s">
        <v>28</v>
      </c>
      <c r="D6" s="15" t="s">
        <v>29</v>
      </c>
    </row>
    <row r="7">
      <c r="B7" s="8" t="s">
        <v>37</v>
      </c>
      <c r="C7" s="15" t="s">
        <v>19</v>
      </c>
      <c r="D7" s="15" t="s">
        <v>29</v>
      </c>
    </row>
    <row r="8">
      <c r="B8" s="8" t="s">
        <v>39</v>
      </c>
      <c r="C8" s="15" t="s">
        <v>28</v>
      </c>
      <c r="D8" s="15" t="s">
        <v>29</v>
      </c>
    </row>
    <row r="9">
      <c r="B9" s="8" t="s">
        <v>41</v>
      </c>
      <c r="C9" s="15" t="s">
        <v>28</v>
      </c>
      <c r="D9" s="15" t="s">
        <v>29</v>
      </c>
    </row>
    <row r="10">
      <c r="B10" s="8"/>
      <c r="C10" s="15" t="s">
        <v>28</v>
      </c>
      <c r="D10" s="15" t="s">
        <v>29</v>
      </c>
    </row>
    <row r="11">
      <c r="B11" s="8"/>
      <c r="C11" s="15" t="s">
        <v>28</v>
      </c>
      <c r="D11" s="15" t="s">
        <v>29</v>
      </c>
    </row>
    <row r="12">
      <c r="B12" s="8" t="s">
        <v>47</v>
      </c>
      <c r="C12" s="15" t="s">
        <v>28</v>
      </c>
      <c r="D12" s="15" t="s">
        <v>29</v>
      </c>
    </row>
    <row r="13">
      <c r="B13" s="8" t="s">
        <v>48</v>
      </c>
      <c r="C13" s="15" t="s">
        <v>28</v>
      </c>
      <c r="D13" s="15" t="s">
        <v>29</v>
      </c>
    </row>
    <row r="14" ht="15.75" customHeight="1">
      <c r="B14" s="8" t="s">
        <v>49</v>
      </c>
      <c r="C14" s="15" t="s">
        <v>28</v>
      </c>
      <c r="D14" s="15" t="s">
        <v>29</v>
      </c>
    </row>
    <row r="15" ht="15.75" customHeight="1">
      <c r="B15" s="8"/>
      <c r="C15" s="15" t="s">
        <v>28</v>
      </c>
      <c r="D15" s="15" t="s">
        <v>29</v>
      </c>
    </row>
    <row r="16" ht="15.75" customHeight="1">
      <c r="B16" s="8" t="s">
        <v>39</v>
      </c>
      <c r="C16" s="15" t="s">
        <v>28</v>
      </c>
      <c r="D16" s="15" t="s">
        <v>29</v>
      </c>
    </row>
    <row r="17" ht="15.75" customHeight="1">
      <c r="B17" s="8" t="s">
        <v>50</v>
      </c>
      <c r="C17" s="15" t="s">
        <v>28</v>
      </c>
      <c r="D17" s="28" t="s">
        <v>25</v>
      </c>
    </row>
    <row r="18" ht="15.75" customHeight="1">
      <c r="B18" s="8"/>
      <c r="C18" s="15" t="s">
        <v>28</v>
      </c>
      <c r="D18" s="15" t="s">
        <v>29</v>
      </c>
    </row>
    <row r="19" ht="15.75" customHeight="1">
      <c r="B19" s="8" t="s">
        <v>52</v>
      </c>
      <c r="C19" s="15" t="s">
        <v>28</v>
      </c>
      <c r="D19" s="15" t="s">
        <v>29</v>
      </c>
    </row>
    <row r="20" ht="15.75" customHeight="1">
      <c r="B20" s="8"/>
      <c r="C20" s="15" t="s">
        <v>28</v>
      </c>
      <c r="D20" s="15" t="s">
        <v>29</v>
      </c>
    </row>
    <row r="21" ht="15.75" customHeight="1">
      <c r="B21" s="8" t="s">
        <v>53</v>
      </c>
      <c r="C21" s="15" t="s">
        <v>28</v>
      </c>
      <c r="D21" s="15" t="s">
        <v>29</v>
      </c>
    </row>
    <row r="22" ht="15.75" customHeight="1">
      <c r="B22" s="8"/>
      <c r="C22" s="15" t="s">
        <v>28</v>
      </c>
      <c r="D22" s="15" t="s">
        <v>29</v>
      </c>
    </row>
    <row r="23" ht="15.75" customHeight="1">
      <c r="B23" s="8" t="s">
        <v>41</v>
      </c>
      <c r="C23" s="15" t="s">
        <v>28</v>
      </c>
      <c r="D23" s="15" t="s">
        <v>29</v>
      </c>
    </row>
    <row r="24" ht="15.75" customHeight="1">
      <c r="B24" s="8" t="s">
        <v>54</v>
      </c>
      <c r="C24" s="15" t="s">
        <v>28</v>
      </c>
      <c r="D24" s="15" t="s">
        <v>29</v>
      </c>
    </row>
    <row r="25" ht="15.75" customHeight="1">
      <c r="B25" s="8" t="s">
        <v>52</v>
      </c>
      <c r="C25" s="15" t="s">
        <v>28</v>
      </c>
      <c r="D25" s="15" t="s">
        <v>29</v>
      </c>
    </row>
    <row r="26" ht="15.75" customHeight="1">
      <c r="B26" s="8" t="s">
        <v>39</v>
      </c>
      <c r="C26" s="15" t="s">
        <v>28</v>
      </c>
      <c r="D26" s="15" t="s">
        <v>29</v>
      </c>
    </row>
    <row r="27" ht="15.75" customHeight="1">
      <c r="B27" s="8" t="s">
        <v>55</v>
      </c>
      <c r="C27" s="15" t="s">
        <v>28</v>
      </c>
      <c r="D27" s="15" t="s">
        <v>29</v>
      </c>
    </row>
    <row r="28" ht="15.75" customHeight="1">
      <c r="B28" s="8"/>
      <c r="C28" s="15" t="s">
        <v>28</v>
      </c>
      <c r="D28" s="15" t="s">
        <v>29</v>
      </c>
    </row>
    <row r="29" ht="15.75" customHeight="1">
      <c r="B29" s="8" t="s">
        <v>56</v>
      </c>
      <c r="C29" s="15" t="s">
        <v>28</v>
      </c>
      <c r="D29" s="15" t="s">
        <v>29</v>
      </c>
    </row>
    <row r="30" ht="15.75" customHeight="1">
      <c r="B30" s="8" t="s">
        <v>57</v>
      </c>
      <c r="C30" s="15" t="s">
        <v>28</v>
      </c>
      <c r="D30" s="15" t="s">
        <v>29</v>
      </c>
    </row>
    <row r="31" ht="15.75" customHeight="1">
      <c r="B31" s="8" t="s">
        <v>58</v>
      </c>
      <c r="C31" s="15" t="s">
        <v>28</v>
      </c>
      <c r="D31" s="15" t="s">
        <v>29</v>
      </c>
    </row>
    <row r="32" ht="15.75" customHeight="1">
      <c r="B32" s="8" t="s">
        <v>39</v>
      </c>
      <c r="C32" s="15" t="s">
        <v>28</v>
      </c>
      <c r="D32" s="15" t="s">
        <v>29</v>
      </c>
    </row>
    <row r="33" ht="15.75" customHeight="1">
      <c r="B33" s="8"/>
      <c r="C33" s="15" t="s">
        <v>28</v>
      </c>
      <c r="D33" s="15" t="s">
        <v>29</v>
      </c>
    </row>
    <row r="34" ht="15.75" customHeight="1">
      <c r="B34" s="8" t="s">
        <v>51</v>
      </c>
      <c r="C34" s="15" t="s">
        <v>28</v>
      </c>
      <c r="D34" s="15" t="s">
        <v>29</v>
      </c>
    </row>
    <row r="35" ht="15.75" customHeight="1">
      <c r="B35" s="8" t="s">
        <v>59</v>
      </c>
      <c r="C35" s="15" t="s">
        <v>28</v>
      </c>
      <c r="D35" s="15" t="s">
        <v>29</v>
      </c>
    </row>
    <row r="36" ht="15.75" customHeight="1">
      <c r="B36" s="8" t="s">
        <v>60</v>
      </c>
      <c r="C36" s="15" t="s">
        <v>28</v>
      </c>
      <c r="D36" s="15" t="s">
        <v>29</v>
      </c>
    </row>
    <row r="37" ht="15.75" customHeight="1">
      <c r="B37" s="8" t="s">
        <v>61</v>
      </c>
      <c r="C37" s="15" t="s">
        <v>28</v>
      </c>
      <c r="D37" s="15" t="s">
        <v>25</v>
      </c>
    </row>
    <row r="38" ht="15.75" customHeight="1">
      <c r="B38" s="8" t="s">
        <v>62</v>
      </c>
      <c r="C38" s="15" t="s">
        <v>19</v>
      </c>
      <c r="D38" s="15" t="s">
        <v>63</v>
      </c>
    </row>
    <row r="39" ht="15.75" customHeight="1">
      <c r="B39" s="8" t="s">
        <v>64</v>
      </c>
      <c r="C39" s="15" t="s">
        <v>28</v>
      </c>
      <c r="D39" s="15" t="s">
        <v>65</v>
      </c>
    </row>
    <row r="40" ht="15.75" customHeight="1">
      <c r="B40" s="8" t="s">
        <v>66</v>
      </c>
      <c r="C40" s="15" t="s">
        <v>28</v>
      </c>
      <c r="D40" s="15" t="s">
        <v>65</v>
      </c>
    </row>
    <row r="41" ht="15.75" customHeight="1">
      <c r="B41" s="8" t="s">
        <v>67</v>
      </c>
      <c r="C41" s="15" t="s">
        <v>28</v>
      </c>
      <c r="D41" s="15" t="s">
        <v>65</v>
      </c>
    </row>
    <row r="42" ht="15.75" customHeight="1">
      <c r="B42" s="8" t="s">
        <v>68</v>
      </c>
      <c r="C42" s="15" t="s">
        <v>28</v>
      </c>
      <c r="D42" s="15" t="s">
        <v>65</v>
      </c>
    </row>
    <row r="43" ht="15.75" customHeight="1">
      <c r="B43" s="8" t="s">
        <v>69</v>
      </c>
      <c r="C43" s="35" t="s">
        <v>28</v>
      </c>
      <c r="D43" s="36" t="s">
        <v>29</v>
      </c>
    </row>
    <row r="44" ht="15.75" customHeight="1">
      <c r="B44" s="8" t="s">
        <v>71</v>
      </c>
      <c r="C44" s="35" t="s">
        <v>28</v>
      </c>
      <c r="D44" s="36" t="s">
        <v>29</v>
      </c>
    </row>
    <row r="45" ht="15.75" customHeight="1">
      <c r="B45" s="8" t="s">
        <v>73</v>
      </c>
      <c r="C45" s="35" t="s">
        <v>28</v>
      </c>
      <c r="D45" s="36" t="s">
        <v>29</v>
      </c>
    </row>
    <row r="46" ht="15.75" customHeight="1">
      <c r="B46" s="8" t="s">
        <v>74</v>
      </c>
      <c r="C46" s="36" t="s">
        <v>28</v>
      </c>
      <c r="D46" s="36" t="s">
        <v>65</v>
      </c>
    </row>
    <row r="47" ht="15.75" customHeight="1">
      <c r="B47" s="8" t="s">
        <v>75</v>
      </c>
      <c r="C47" s="36" t="s">
        <v>28</v>
      </c>
      <c r="D47" s="36" t="s">
        <v>29</v>
      </c>
    </row>
    <row r="48" ht="15.75" customHeight="1">
      <c r="B48" s="8" t="s">
        <v>76</v>
      </c>
      <c r="C48" s="36" t="s">
        <v>28</v>
      </c>
      <c r="D48" s="36" t="s">
        <v>29</v>
      </c>
    </row>
    <row r="49" ht="15.75" customHeight="1">
      <c r="B49" s="8" t="s">
        <v>77</v>
      </c>
      <c r="C49" s="36" t="s">
        <v>28</v>
      </c>
      <c r="D49" s="36" t="s">
        <v>25</v>
      </c>
    </row>
    <row r="50" ht="15.75" customHeight="1">
      <c r="B50" s="8" t="s">
        <v>78</v>
      </c>
      <c r="C50" s="36" t="s">
        <v>28</v>
      </c>
      <c r="D50" s="36" t="s">
        <v>25</v>
      </c>
    </row>
    <row r="51" ht="15.75" customHeight="1">
      <c r="B51" s="8" t="s">
        <v>79</v>
      </c>
      <c r="C51" s="36" t="s">
        <v>28</v>
      </c>
      <c r="D51" s="36" t="s">
        <v>29</v>
      </c>
    </row>
    <row r="52" ht="15.75" customHeight="1">
      <c r="B52" s="8" t="s">
        <v>80</v>
      </c>
      <c r="C52" s="36" t="s">
        <v>28</v>
      </c>
      <c r="D52" s="36" t="s">
        <v>65</v>
      </c>
    </row>
    <row r="53" ht="15.75" customHeight="1">
      <c r="B53" s="8" t="s">
        <v>82</v>
      </c>
      <c r="C53" s="36" t="s">
        <v>28</v>
      </c>
      <c r="D53" s="36" t="s">
        <v>25</v>
      </c>
    </row>
    <row r="54" ht="15.75" customHeight="1">
      <c r="B54" s="8"/>
      <c r="C54" s="36" t="s">
        <v>28</v>
      </c>
      <c r="D54" s="36" t="s">
        <v>29</v>
      </c>
    </row>
    <row r="55" ht="15.75" customHeight="1">
      <c r="B55" s="8"/>
      <c r="C55" s="36" t="s">
        <v>28</v>
      </c>
      <c r="D55" s="36" t="s">
        <v>29</v>
      </c>
    </row>
    <row r="56" ht="15.75" customHeight="1">
      <c r="B56" s="8" t="s">
        <v>86</v>
      </c>
      <c r="C56" s="36" t="s">
        <v>28</v>
      </c>
      <c r="D56" s="36" t="s">
        <v>29</v>
      </c>
    </row>
    <row r="57" ht="15.75" customHeight="1">
      <c r="B57" s="8"/>
      <c r="C57" s="36" t="s">
        <v>28</v>
      </c>
      <c r="D57" s="36" t="s">
        <v>29</v>
      </c>
    </row>
    <row r="58" ht="15.75" customHeight="1">
      <c r="B58" s="8"/>
      <c r="C58" s="36" t="s">
        <v>28</v>
      </c>
      <c r="D58" s="36" t="s">
        <v>29</v>
      </c>
    </row>
    <row r="59" ht="15.75" customHeight="1">
      <c r="B59" s="8"/>
      <c r="C59" s="36" t="s">
        <v>28</v>
      </c>
      <c r="D59" s="36" t="s">
        <v>29</v>
      </c>
    </row>
    <row r="60" ht="15.75" customHeight="1">
      <c r="B60" s="8"/>
      <c r="C60" s="36" t="s">
        <v>28</v>
      </c>
      <c r="D60" s="36" t="s">
        <v>29</v>
      </c>
    </row>
    <row r="61" ht="15.75" customHeight="1">
      <c r="B61" s="8" t="s">
        <v>87</v>
      </c>
      <c r="C61" s="36" t="s">
        <v>28</v>
      </c>
      <c r="D61" s="36" t="s">
        <v>25</v>
      </c>
    </row>
    <row r="62" ht="15.75" customHeight="1">
      <c r="B62" s="8" t="s">
        <v>88</v>
      </c>
      <c r="C62" s="36" t="s">
        <v>28</v>
      </c>
      <c r="D62" s="36" t="s">
        <v>25</v>
      </c>
    </row>
    <row r="63" ht="15.75" customHeight="1">
      <c r="B63" s="8" t="s">
        <v>90</v>
      </c>
      <c r="C63" s="36" t="s">
        <v>28</v>
      </c>
      <c r="D63" s="36" t="s">
        <v>29</v>
      </c>
    </row>
    <row r="64" ht="15.75" customHeight="1">
      <c r="B64" s="8"/>
      <c r="C64" s="36" t="s">
        <v>28</v>
      </c>
      <c r="D64" s="36" t="s">
        <v>29</v>
      </c>
    </row>
    <row r="65" ht="15.75" customHeight="1">
      <c r="B65" s="8"/>
      <c r="C65" s="36" t="s">
        <v>28</v>
      </c>
      <c r="D65" s="36" t="s">
        <v>29</v>
      </c>
    </row>
    <row r="66" ht="15.75" customHeight="1">
      <c r="B66" s="8"/>
      <c r="C66" s="36" t="s">
        <v>28</v>
      </c>
      <c r="D66" s="36" t="s">
        <v>29</v>
      </c>
    </row>
    <row r="67" ht="15.75" customHeight="1">
      <c r="B67" s="8" t="s">
        <v>91</v>
      </c>
      <c r="C67" s="36" t="s">
        <v>19</v>
      </c>
      <c r="D67" s="36" t="s">
        <v>29</v>
      </c>
    </row>
    <row r="68" ht="15.75" customHeight="1">
      <c r="B68" s="8" t="s">
        <v>92</v>
      </c>
      <c r="C68" s="36" t="s">
        <v>19</v>
      </c>
      <c r="D68" s="36" t="s">
        <v>29</v>
      </c>
    </row>
    <row r="69" ht="15.75" customHeight="1">
      <c r="B69" s="8" t="s">
        <v>93</v>
      </c>
      <c r="C69" s="36" t="s">
        <v>19</v>
      </c>
      <c r="D69" s="36" t="s">
        <v>29</v>
      </c>
    </row>
    <row r="70" ht="15.75" customHeight="1">
      <c r="B70" s="8" t="s">
        <v>94</v>
      </c>
      <c r="C70" s="36" t="s">
        <v>28</v>
      </c>
      <c r="D70" s="36" t="s">
        <v>29</v>
      </c>
    </row>
    <row r="71" ht="15.75" customHeight="1">
      <c r="B71" s="8" t="s">
        <v>95</v>
      </c>
      <c r="C71" s="36" t="s">
        <v>28</v>
      </c>
      <c r="D71" s="36" t="s">
        <v>29</v>
      </c>
    </row>
    <row r="72" ht="15.75" customHeight="1">
      <c r="B72" s="8" t="s">
        <v>97</v>
      </c>
      <c r="C72" s="36" t="s">
        <v>28</v>
      </c>
      <c r="D72" s="36" t="s">
        <v>29</v>
      </c>
    </row>
    <row r="73" ht="15.75" customHeight="1">
      <c r="B73" s="8" t="s">
        <v>98</v>
      </c>
      <c r="C73" s="36" t="s">
        <v>28</v>
      </c>
      <c r="D73" s="36" t="s">
        <v>29</v>
      </c>
    </row>
    <row r="74" ht="15.75" customHeight="1">
      <c r="B74" s="8" t="s">
        <v>99</v>
      </c>
      <c r="C74" s="36" t="s">
        <v>28</v>
      </c>
      <c r="D74" s="36" t="s">
        <v>29</v>
      </c>
    </row>
    <row r="75" ht="15.75" customHeight="1">
      <c r="B75" s="8"/>
      <c r="C75" s="36"/>
      <c r="D75" s="36"/>
    </row>
    <row r="76" ht="15.75" customHeight="1">
      <c r="B76" s="8"/>
      <c r="C76" s="36"/>
      <c r="D76" s="36"/>
    </row>
    <row r="77" ht="15.75" customHeight="1">
      <c r="B77" s="8"/>
      <c r="C77" s="36"/>
      <c r="D77" s="36"/>
    </row>
    <row r="78" ht="15.75" customHeight="1">
      <c r="B78" s="8"/>
      <c r="C78" s="36"/>
      <c r="D78" s="36"/>
    </row>
    <row r="79" ht="15.75" customHeight="1">
      <c r="B79" s="8"/>
      <c r="C79" s="36"/>
      <c r="D79" s="36"/>
    </row>
    <row r="80" ht="15.75" customHeight="1">
      <c r="B80" s="8"/>
      <c r="C80" s="36"/>
      <c r="D80" s="36"/>
    </row>
    <row r="81" ht="15.75" customHeight="1">
      <c r="B81" s="8"/>
      <c r="C81" s="44"/>
      <c r="D81" s="44"/>
    </row>
    <row r="82" ht="15.75" customHeight="1">
      <c r="C82" s="44"/>
      <c r="D82" s="44"/>
    </row>
    <row r="83" ht="15.75" customHeight="1">
      <c r="C83" s="44"/>
      <c r="D83" s="44"/>
    </row>
    <row r="84" ht="15.75" customHeight="1">
      <c r="C84" s="44"/>
      <c r="D84" s="44"/>
    </row>
    <row r="85" ht="15.75" customHeight="1">
      <c r="C85" s="44"/>
      <c r="D85" s="44"/>
    </row>
    <row r="86" ht="15.75" customHeight="1">
      <c r="C86" s="44"/>
      <c r="D86" s="44"/>
    </row>
    <row r="87" ht="15.75" customHeight="1">
      <c r="C87" s="44"/>
      <c r="D87" s="44"/>
    </row>
    <row r="88" ht="15.75" customHeight="1">
      <c r="C88" s="44"/>
      <c r="D88" s="44"/>
    </row>
    <row r="89" ht="15.75" customHeight="1">
      <c r="C89" s="44"/>
      <c r="D89" s="44"/>
    </row>
    <row r="90" ht="15.75" customHeight="1">
      <c r="C90" s="44"/>
      <c r="D90" s="44"/>
    </row>
    <row r="91" ht="15.75" customHeight="1">
      <c r="C91" s="44"/>
      <c r="D91" s="44"/>
    </row>
    <row r="92" ht="15.75" customHeight="1">
      <c r="C92" s="44"/>
      <c r="D92" s="44"/>
    </row>
    <row r="93" ht="15.75" customHeight="1">
      <c r="C93" s="44"/>
      <c r="D93" s="44"/>
    </row>
    <row r="94" ht="15.75" customHeight="1">
      <c r="C94" s="44"/>
      <c r="D94" s="44"/>
    </row>
    <row r="95" ht="15.75" customHeight="1">
      <c r="C95" s="44"/>
      <c r="D95" s="44"/>
    </row>
    <row r="96" ht="15.75" customHeight="1">
      <c r="C96" s="44"/>
      <c r="D96" s="44"/>
    </row>
    <row r="97" ht="15.75" customHeight="1">
      <c r="C97" s="44"/>
      <c r="D97" s="44"/>
    </row>
    <row r="98" ht="15.75" customHeight="1">
      <c r="C98" s="44"/>
      <c r="D98" s="44"/>
    </row>
    <row r="99" ht="15.75" customHeight="1">
      <c r="C99" s="44"/>
      <c r="D99" s="44"/>
    </row>
    <row r="100" ht="15.75" customHeight="1">
      <c r="C100" s="44"/>
      <c r="D100" s="44"/>
    </row>
    <row r="101" ht="15.75" customHeight="1">
      <c r="C101" s="44"/>
      <c r="D101" s="44"/>
    </row>
    <row r="102" ht="15.75" customHeight="1">
      <c r="C102" s="44"/>
      <c r="D102" s="44"/>
    </row>
    <row r="103" ht="15.75" customHeight="1">
      <c r="C103" s="44"/>
      <c r="D103" s="44"/>
    </row>
    <row r="104" ht="15.75" customHeight="1">
      <c r="C104" s="44"/>
      <c r="D104" s="44"/>
    </row>
    <row r="105" ht="15.75" customHeight="1">
      <c r="C105" s="44"/>
      <c r="D105" s="44"/>
    </row>
    <row r="106" ht="15.75" customHeight="1">
      <c r="C106" s="44"/>
      <c r="D106" s="44"/>
    </row>
    <row r="107" ht="15.75" customHeight="1">
      <c r="C107" s="44"/>
      <c r="D107" s="44"/>
    </row>
    <row r="108" ht="15.75" customHeight="1">
      <c r="C108" s="44"/>
      <c r="D108" s="44"/>
    </row>
    <row r="109" ht="15.75" customHeight="1">
      <c r="C109" s="44"/>
      <c r="D109" s="44"/>
    </row>
    <row r="110" ht="15.75" customHeight="1">
      <c r="C110" s="44"/>
      <c r="D110" s="44"/>
    </row>
    <row r="111" ht="15.75" customHeight="1">
      <c r="C111" s="44"/>
      <c r="D111" s="44"/>
    </row>
    <row r="112" ht="15.75" customHeight="1">
      <c r="C112" s="6"/>
      <c r="D112" s="44"/>
    </row>
    <row r="113" ht="15.75" customHeight="1">
      <c r="C113" s="6"/>
      <c r="D113" s="44"/>
    </row>
    <row r="114" ht="15.75" customHeight="1">
      <c r="C114" s="6"/>
      <c r="D114" s="44"/>
    </row>
    <row r="115" ht="15.75" customHeight="1">
      <c r="C115" s="6"/>
      <c r="D115" s="44"/>
    </row>
    <row r="116" ht="15.75" customHeight="1">
      <c r="C116" s="6"/>
      <c r="D116" s="6"/>
    </row>
    <row r="117" ht="15.75" customHeight="1">
      <c r="C117" s="6"/>
      <c r="D117" s="6"/>
    </row>
    <row r="118" ht="15.75" customHeight="1">
      <c r="C118" s="6"/>
      <c r="D118" s="6"/>
    </row>
    <row r="119" ht="15.75" customHeight="1">
      <c r="C119" s="6"/>
      <c r="D119" s="6"/>
    </row>
    <row r="120" ht="15.75" customHeight="1">
      <c r="C120" s="6"/>
      <c r="D120" s="6"/>
    </row>
    <row r="121" ht="15.75" customHeight="1">
      <c r="C121" s="6"/>
      <c r="D121" s="6"/>
    </row>
    <row r="122" ht="15.75" customHeight="1">
      <c r="C122" s="6"/>
      <c r="D122" s="6"/>
    </row>
    <row r="123" ht="15.75" customHeight="1">
      <c r="C123" s="6"/>
      <c r="D123" s="6"/>
    </row>
    <row r="124" ht="15.75" customHeight="1">
      <c r="C124" s="6"/>
      <c r="D124" s="6"/>
    </row>
    <row r="125" ht="15.75" customHeight="1">
      <c r="C125" s="6"/>
      <c r="D125" s="6"/>
    </row>
    <row r="126" ht="15.75" customHeight="1">
      <c r="C126" s="6"/>
      <c r="D126" s="6"/>
    </row>
    <row r="127" ht="15.75" customHeight="1">
      <c r="C127" s="6"/>
      <c r="D127" s="6"/>
    </row>
    <row r="128" ht="15.75" customHeight="1">
      <c r="C128" s="6"/>
      <c r="D128" s="6"/>
    </row>
    <row r="129" ht="15.75" customHeight="1">
      <c r="C129" s="6"/>
      <c r="D129" s="6"/>
    </row>
    <row r="130" ht="15.75" customHeight="1">
      <c r="C130" s="6"/>
      <c r="D130" s="6"/>
    </row>
    <row r="131" ht="15.75" customHeight="1">
      <c r="C131" s="6"/>
      <c r="D131" s="6"/>
    </row>
    <row r="132" ht="15.75" customHeight="1">
      <c r="C132" s="6"/>
      <c r="D132" s="6"/>
    </row>
    <row r="133" ht="15.75" customHeight="1">
      <c r="C133" s="6"/>
      <c r="D133" s="6"/>
    </row>
    <row r="134" ht="15.75" customHeight="1">
      <c r="C134" s="6"/>
      <c r="D134" s="6"/>
    </row>
    <row r="135" ht="15.75" customHeight="1">
      <c r="C135" s="6"/>
      <c r="D135" s="6"/>
    </row>
    <row r="136" ht="15.75" customHeight="1">
      <c r="C136" s="6"/>
      <c r="D136" s="6"/>
    </row>
    <row r="137" ht="15.75" customHeight="1">
      <c r="C137" s="6"/>
      <c r="D137" s="6"/>
    </row>
    <row r="138" ht="15.75" customHeight="1">
      <c r="C138" s="6"/>
      <c r="D138" s="6"/>
    </row>
    <row r="139" ht="15.75" customHeight="1">
      <c r="C139" s="6"/>
      <c r="D139" s="6"/>
    </row>
    <row r="140" ht="15.75" customHeight="1">
      <c r="C140" s="6"/>
      <c r="D140" s="6"/>
    </row>
    <row r="141" ht="15.75" customHeight="1">
      <c r="C141" s="6"/>
      <c r="D141" s="6"/>
    </row>
    <row r="142" ht="15.75" customHeight="1">
      <c r="C142" s="6"/>
      <c r="D142" s="6"/>
    </row>
    <row r="143" ht="15.75" customHeight="1">
      <c r="C143" s="6"/>
      <c r="D143" s="6"/>
    </row>
    <row r="144" ht="15.75" customHeight="1">
      <c r="C144" s="6"/>
      <c r="D144" s="6"/>
    </row>
    <row r="145" ht="15.75" customHeight="1">
      <c r="C145" s="6"/>
      <c r="D145" s="6"/>
    </row>
    <row r="146" ht="15.75" customHeight="1">
      <c r="C146" s="6"/>
      <c r="D146" s="6"/>
    </row>
    <row r="147" ht="15.75" customHeight="1">
      <c r="C147" s="6"/>
      <c r="D147" s="6"/>
    </row>
    <row r="148" ht="15.75" customHeight="1">
      <c r="C148" s="6"/>
      <c r="D148" s="6"/>
    </row>
    <row r="149" ht="15.75" customHeight="1">
      <c r="C149" s="6"/>
      <c r="D149" s="6"/>
    </row>
    <row r="150" ht="15.75" customHeight="1">
      <c r="C150" s="6"/>
      <c r="D150" s="6"/>
    </row>
    <row r="151" ht="15.75" customHeight="1">
      <c r="C151" s="6"/>
      <c r="D151" s="6"/>
    </row>
    <row r="152" ht="15.75" customHeight="1">
      <c r="C152" s="6"/>
      <c r="D152" s="6"/>
    </row>
    <row r="153" ht="15.75" customHeight="1">
      <c r="C153" s="6"/>
      <c r="D153" s="6"/>
    </row>
    <row r="154" ht="15.75" customHeight="1">
      <c r="C154" s="6"/>
      <c r="D154" s="6"/>
    </row>
    <row r="155" ht="15.75" customHeight="1">
      <c r="C155" s="6"/>
      <c r="D155" s="6"/>
    </row>
    <row r="156" ht="15.75" customHeight="1">
      <c r="C156" s="6"/>
      <c r="D156" s="6"/>
    </row>
    <row r="157" ht="15.75" customHeight="1">
      <c r="C157" s="6"/>
      <c r="D157" s="6"/>
    </row>
    <row r="158" ht="15.75" customHeight="1">
      <c r="C158" s="6"/>
      <c r="D158" s="6"/>
    </row>
    <row r="159" ht="15.75" customHeight="1">
      <c r="C159" s="6"/>
      <c r="D159" s="6"/>
    </row>
    <row r="160" ht="15.75" customHeight="1">
      <c r="C160" s="6"/>
      <c r="D160" s="6"/>
    </row>
    <row r="161" ht="15.75" customHeight="1">
      <c r="C161" s="6"/>
      <c r="D161" s="6"/>
    </row>
    <row r="162" ht="15.75" customHeight="1">
      <c r="C162" s="6"/>
      <c r="D162" s="6"/>
    </row>
    <row r="163" ht="15.75" customHeight="1">
      <c r="C163" s="6"/>
      <c r="D163" s="6"/>
    </row>
    <row r="164" ht="15.75" customHeight="1">
      <c r="C164" s="6"/>
      <c r="D164" s="6"/>
    </row>
    <row r="165" ht="15.75" customHeight="1">
      <c r="C165" s="6"/>
      <c r="D165" s="6"/>
    </row>
    <row r="166" ht="15.75" customHeight="1">
      <c r="C166" s="6"/>
      <c r="D166" s="6"/>
    </row>
    <row r="167" ht="15.75" customHeight="1">
      <c r="C167" s="6"/>
      <c r="D167" s="6"/>
    </row>
    <row r="168" ht="15.75" customHeight="1">
      <c r="C168" s="6"/>
      <c r="D168" s="6"/>
    </row>
    <row r="169" ht="15.75" customHeight="1">
      <c r="C169" s="6"/>
      <c r="D169" s="6"/>
    </row>
    <row r="170" ht="15.75" customHeight="1">
      <c r="C170" s="6"/>
      <c r="D170" s="6"/>
    </row>
    <row r="171" ht="15.75" customHeight="1">
      <c r="C171" s="6"/>
      <c r="D171" s="6"/>
    </row>
    <row r="172" ht="15.75" customHeight="1">
      <c r="C172" s="6"/>
      <c r="D172" s="6"/>
    </row>
    <row r="173" ht="15.75" customHeight="1">
      <c r="C173" s="6"/>
      <c r="D173" s="6"/>
    </row>
    <row r="174" ht="15.75" customHeight="1">
      <c r="C174" s="6"/>
      <c r="D174" s="6"/>
    </row>
    <row r="175" ht="15.75" customHeight="1">
      <c r="C175" s="6"/>
      <c r="D175" s="6"/>
    </row>
    <row r="176" ht="15.75" customHeight="1">
      <c r="C176" s="6"/>
      <c r="D176" s="6"/>
    </row>
    <row r="177" ht="15.75" customHeight="1">
      <c r="C177" s="6"/>
      <c r="D177" s="6"/>
    </row>
    <row r="178" ht="15.75" customHeight="1">
      <c r="C178" s="6"/>
      <c r="D178" s="6"/>
    </row>
    <row r="179" ht="15.75" customHeight="1">
      <c r="C179" s="6"/>
      <c r="D179" s="6"/>
    </row>
    <row r="180" ht="15.75" customHeight="1">
      <c r="C180" s="6"/>
      <c r="D180" s="6"/>
    </row>
    <row r="181" ht="15.75" customHeight="1">
      <c r="C181" s="6"/>
      <c r="D181" s="6"/>
    </row>
    <row r="182" ht="15.75" customHeight="1">
      <c r="C182" s="6"/>
      <c r="D182" s="6"/>
    </row>
    <row r="183" ht="15.75" customHeight="1">
      <c r="C183" s="6"/>
      <c r="D183" s="6"/>
    </row>
    <row r="184" ht="15.75" customHeight="1">
      <c r="C184" s="6"/>
      <c r="D184" s="6"/>
    </row>
    <row r="185" ht="15.75" customHeight="1">
      <c r="C185" s="6"/>
      <c r="D185" s="6"/>
    </row>
    <row r="186" ht="15.75" customHeight="1">
      <c r="C186" s="6"/>
      <c r="D186" s="6"/>
    </row>
    <row r="187" ht="15.75" customHeight="1">
      <c r="C187" s="6"/>
      <c r="D187" s="6"/>
    </row>
    <row r="188" ht="15.75" customHeight="1">
      <c r="C188" s="6"/>
      <c r="D188" s="6"/>
    </row>
    <row r="189" ht="15.75" customHeight="1">
      <c r="C189" s="6"/>
      <c r="D189" s="6"/>
    </row>
    <row r="190" ht="15.75" customHeight="1">
      <c r="C190" s="6"/>
      <c r="D190" s="6"/>
    </row>
    <row r="191" ht="15.75" customHeight="1">
      <c r="C191" s="6"/>
      <c r="D191" s="6"/>
    </row>
    <row r="192" ht="15.75" customHeight="1">
      <c r="C192" s="6"/>
      <c r="D192" s="6"/>
    </row>
    <row r="193" ht="15.75" customHeight="1">
      <c r="C193" s="6"/>
      <c r="D193" s="6"/>
    </row>
    <row r="194" ht="15.75" customHeight="1">
      <c r="C194" s="6"/>
      <c r="D194" s="6"/>
    </row>
    <row r="195" ht="15.75" customHeight="1">
      <c r="C195" s="6"/>
      <c r="D195" s="6"/>
    </row>
    <row r="196" ht="15.75" customHeight="1">
      <c r="C196" s="6"/>
      <c r="D196" s="6"/>
    </row>
    <row r="197" ht="15.75" customHeight="1">
      <c r="C197" s="6"/>
      <c r="D197" s="6"/>
    </row>
    <row r="198" ht="15.75" customHeight="1">
      <c r="C198" s="6"/>
      <c r="D198" s="6"/>
    </row>
    <row r="199" ht="15.75" customHeight="1">
      <c r="C199" s="6"/>
      <c r="D199" s="6"/>
    </row>
    <row r="200" ht="15.75" customHeight="1">
      <c r="C200" s="6"/>
      <c r="D200" s="6"/>
    </row>
    <row r="201" ht="15.75" customHeight="1">
      <c r="C201" s="6"/>
      <c r="D201" s="6"/>
    </row>
    <row r="202" ht="15.75" customHeight="1">
      <c r="C202" s="6"/>
      <c r="D202" s="6"/>
    </row>
    <row r="203" ht="15.75" customHeight="1">
      <c r="C203" s="6"/>
      <c r="D203" s="6"/>
    </row>
    <row r="204" ht="15.75" customHeight="1">
      <c r="C204" s="6"/>
      <c r="D204" s="6"/>
    </row>
    <row r="205" ht="15.75" customHeight="1">
      <c r="C205" s="6"/>
      <c r="D205" s="6"/>
    </row>
    <row r="206" ht="15.75" customHeight="1">
      <c r="C206" s="6"/>
      <c r="D206" s="6"/>
    </row>
    <row r="207" ht="15.75" customHeight="1">
      <c r="C207" s="6"/>
      <c r="D207" s="6"/>
    </row>
    <row r="208" ht="15.75" customHeight="1">
      <c r="C208" s="6"/>
      <c r="D208" s="6"/>
    </row>
    <row r="209" ht="15.75" customHeight="1">
      <c r="C209" s="6"/>
      <c r="D209" s="6"/>
    </row>
    <row r="210" ht="15.75" customHeight="1">
      <c r="C210" s="6"/>
      <c r="D210" s="6"/>
    </row>
    <row r="211" ht="15.75" customHeight="1">
      <c r="C211" s="6"/>
      <c r="D211" s="6"/>
    </row>
    <row r="212" ht="15.75" customHeight="1">
      <c r="C212" s="6"/>
      <c r="D212" s="6"/>
    </row>
    <row r="213" ht="15.75" customHeight="1">
      <c r="C213" s="6"/>
      <c r="D213" s="6"/>
    </row>
    <row r="214" ht="15.75" customHeight="1">
      <c r="C214" s="6"/>
      <c r="D214" s="6"/>
    </row>
    <row r="215" ht="15.75" customHeight="1">
      <c r="C215" s="6"/>
      <c r="D215" s="6"/>
    </row>
    <row r="216" ht="15.75" customHeight="1">
      <c r="C216" s="6"/>
      <c r="D216" s="6"/>
    </row>
    <row r="217" ht="15.75" customHeight="1">
      <c r="C217" s="6"/>
      <c r="D217" s="6"/>
    </row>
    <row r="218" ht="15.75" customHeight="1">
      <c r="C218" s="6"/>
      <c r="D218" s="6"/>
    </row>
    <row r="219" ht="15.75" customHeight="1">
      <c r="C219" s="6"/>
      <c r="D219" s="6"/>
    </row>
    <row r="220" ht="15.75" customHeight="1">
      <c r="C220" s="6"/>
      <c r="D220" s="6"/>
    </row>
    <row r="221" ht="15.75" customHeight="1">
      <c r="C221" s="6"/>
      <c r="D221" s="6"/>
    </row>
    <row r="222" ht="15.75" customHeight="1">
      <c r="C222" s="6"/>
      <c r="D222" s="6"/>
    </row>
    <row r="223" ht="15.75" customHeight="1">
      <c r="C223" s="6"/>
      <c r="D223" s="6"/>
    </row>
    <row r="224" ht="15.75" customHeight="1">
      <c r="C224" s="6"/>
      <c r="D224" s="6"/>
    </row>
    <row r="225" ht="15.75" customHeight="1">
      <c r="C225" s="6"/>
      <c r="D225" s="6"/>
    </row>
    <row r="226" ht="15.75" customHeight="1">
      <c r="C226" s="6"/>
      <c r="D226" s="6"/>
    </row>
    <row r="227" ht="15.75" customHeight="1">
      <c r="C227" s="6"/>
      <c r="D227" s="6"/>
    </row>
    <row r="228" ht="15.75" customHeight="1">
      <c r="C228" s="6"/>
      <c r="D228" s="6"/>
    </row>
    <row r="229" ht="15.75" customHeight="1">
      <c r="C229" s="6"/>
      <c r="D229" s="6"/>
    </row>
    <row r="230" ht="15.75" customHeight="1">
      <c r="C230" s="6"/>
      <c r="D230" s="6"/>
    </row>
    <row r="231" ht="15.75" customHeight="1">
      <c r="C231" s="6"/>
      <c r="D231" s="6"/>
    </row>
    <row r="232" ht="15.75" customHeight="1">
      <c r="C232" s="6"/>
      <c r="D232" s="6"/>
    </row>
    <row r="233" ht="15.75" customHeight="1">
      <c r="C233" s="6"/>
      <c r="D233" s="6"/>
    </row>
    <row r="234" ht="15.75" customHeight="1">
      <c r="C234" s="6"/>
      <c r="D234" s="6"/>
    </row>
    <row r="235" ht="15.75" customHeight="1">
      <c r="C235" s="6"/>
      <c r="D235" s="6"/>
    </row>
    <row r="236" ht="15.75" customHeight="1">
      <c r="C236" s="6"/>
      <c r="D236" s="6"/>
    </row>
    <row r="237" ht="15.75" customHeight="1">
      <c r="C237" s="6"/>
      <c r="D237" s="6"/>
    </row>
    <row r="238" ht="15.75" customHeight="1">
      <c r="C238" s="6"/>
      <c r="D238" s="6"/>
    </row>
    <row r="239" ht="15.75" customHeight="1">
      <c r="C239" s="6"/>
      <c r="D239" s="6"/>
    </row>
    <row r="240" ht="15.75" customHeight="1">
      <c r="C240" s="6"/>
      <c r="D240" s="6"/>
    </row>
    <row r="241" ht="15.75" customHeight="1">
      <c r="C241" s="6"/>
      <c r="D241" s="6"/>
    </row>
    <row r="242" ht="15.75" customHeight="1">
      <c r="C242" s="6"/>
      <c r="D242" s="6"/>
    </row>
    <row r="243" ht="15.75" customHeight="1">
      <c r="C243" s="6"/>
      <c r="D243" s="6"/>
    </row>
    <row r="244" ht="15.75" customHeight="1">
      <c r="C244" s="6"/>
      <c r="D244" s="6"/>
    </row>
    <row r="245" ht="15.75" customHeight="1">
      <c r="C245" s="6"/>
      <c r="D245" s="6"/>
    </row>
    <row r="246" ht="15.75" customHeight="1">
      <c r="C246" s="6"/>
      <c r="D246" s="6"/>
    </row>
    <row r="247" ht="15.75" customHeight="1">
      <c r="C247" s="6"/>
      <c r="D247" s="6"/>
    </row>
    <row r="248" ht="15.75" customHeight="1">
      <c r="C248" s="6"/>
      <c r="D248" s="6"/>
    </row>
    <row r="249" ht="15.75" customHeight="1">
      <c r="C249" s="6"/>
      <c r="D249" s="6"/>
    </row>
    <row r="250" ht="15.75" customHeight="1">
      <c r="C250" s="6"/>
      <c r="D250" s="6"/>
    </row>
    <row r="251" ht="15.75" customHeight="1">
      <c r="C251" s="6"/>
      <c r="D251" s="6"/>
    </row>
    <row r="252" ht="15.75" customHeight="1">
      <c r="C252" s="6"/>
      <c r="D252" s="6"/>
    </row>
    <row r="253" ht="15.75" customHeight="1">
      <c r="C253" s="6"/>
      <c r="D253" s="6"/>
    </row>
    <row r="254" ht="15.75" customHeight="1">
      <c r="C254" s="6"/>
      <c r="D254" s="6"/>
    </row>
    <row r="255" ht="15.75" customHeight="1">
      <c r="C255" s="6"/>
      <c r="D255" s="6"/>
    </row>
    <row r="256" ht="15.75" customHeight="1">
      <c r="C256" s="6"/>
      <c r="D256" s="6"/>
    </row>
    <row r="257" ht="15.75" customHeight="1">
      <c r="C257" s="6"/>
      <c r="D257" s="6"/>
    </row>
    <row r="258" ht="15.75" customHeight="1">
      <c r="C258" s="6"/>
      <c r="D258" s="6"/>
    </row>
    <row r="259" ht="15.75" customHeight="1">
      <c r="C259" s="6"/>
      <c r="D259" s="6"/>
    </row>
    <row r="260" ht="15.75" customHeight="1">
      <c r="C260" s="6"/>
      <c r="D260" s="6"/>
    </row>
    <row r="261" ht="15.75" customHeight="1">
      <c r="C261" s="6"/>
      <c r="D261" s="6"/>
    </row>
    <row r="262" ht="15.75" customHeight="1">
      <c r="C262" s="6"/>
      <c r="D262" s="6"/>
    </row>
    <row r="263" ht="15.75" customHeight="1">
      <c r="C263" s="6"/>
      <c r="D263" s="6"/>
    </row>
    <row r="264" ht="15.75" customHeight="1">
      <c r="C264" s="6"/>
      <c r="D264" s="6"/>
    </row>
    <row r="265" ht="15.75" customHeight="1">
      <c r="C265" s="6"/>
      <c r="D265" s="6"/>
    </row>
    <row r="266" ht="15.75" customHeight="1">
      <c r="C266" s="6"/>
      <c r="D266" s="6"/>
    </row>
    <row r="267" ht="15.75" customHeight="1">
      <c r="C267" s="6"/>
      <c r="D267" s="6"/>
    </row>
    <row r="268" ht="15.75" customHeight="1">
      <c r="C268" s="6"/>
      <c r="D268" s="6"/>
    </row>
    <row r="269" ht="15.75" customHeight="1">
      <c r="C269" s="6"/>
      <c r="D269" s="6"/>
    </row>
    <row r="270" ht="15.75" customHeight="1">
      <c r="C270" s="6"/>
      <c r="D270" s="6"/>
    </row>
    <row r="271" ht="15.75" customHeight="1">
      <c r="C271" s="6"/>
      <c r="D271" s="6"/>
    </row>
    <row r="272" ht="15.75" customHeight="1">
      <c r="C272" s="6"/>
      <c r="D272" s="6"/>
    </row>
    <row r="273" ht="15.75" customHeight="1">
      <c r="C273" s="6"/>
      <c r="D273" s="6"/>
    </row>
    <row r="274" ht="15.75" customHeight="1">
      <c r="C274" s="6"/>
      <c r="D274" s="6"/>
    </row>
    <row r="275" ht="15.75" customHeight="1">
      <c r="C275" s="6"/>
      <c r="D275" s="6"/>
    </row>
    <row r="276" ht="15.75" customHeight="1">
      <c r="C276" s="6"/>
      <c r="D276" s="6"/>
    </row>
    <row r="277" ht="15.75" customHeight="1">
      <c r="C277" s="6"/>
      <c r="D277" s="6"/>
    </row>
    <row r="278" ht="15.75" customHeight="1">
      <c r="C278" s="6"/>
      <c r="D278" s="6"/>
    </row>
    <row r="279" ht="15.75" customHeight="1">
      <c r="C279" s="6"/>
      <c r="D279" s="6"/>
    </row>
    <row r="280" ht="15.75" customHeight="1">
      <c r="C280" s="6"/>
      <c r="D280" s="6"/>
    </row>
    <row r="281" ht="15.75" customHeight="1">
      <c r="C281" s="6"/>
      <c r="D281" s="6"/>
    </row>
    <row r="282" ht="15.75" customHeight="1">
      <c r="C282" s="6"/>
      <c r="D282" s="6"/>
    </row>
    <row r="283" ht="15.75" customHeight="1">
      <c r="C283" s="6"/>
      <c r="D283" s="6"/>
    </row>
    <row r="284" ht="15.75" customHeight="1">
      <c r="C284" s="6"/>
      <c r="D284" s="6"/>
    </row>
    <row r="285" ht="15.75" customHeight="1">
      <c r="C285" s="6"/>
      <c r="D285" s="6"/>
    </row>
    <row r="286" ht="15.75" customHeight="1">
      <c r="C286" s="6"/>
      <c r="D286" s="6"/>
    </row>
    <row r="287" ht="15.75" customHeight="1">
      <c r="C287" s="6"/>
      <c r="D287" s="6"/>
    </row>
    <row r="288" ht="15.75" customHeight="1">
      <c r="C288" s="6"/>
      <c r="D288" s="6"/>
    </row>
    <row r="289" ht="15.75" customHeight="1">
      <c r="C289" s="6"/>
      <c r="D289" s="6"/>
    </row>
    <row r="290" ht="15.75" customHeight="1">
      <c r="C290" s="6"/>
      <c r="D290" s="6"/>
    </row>
    <row r="291" ht="15.75" customHeight="1">
      <c r="C291" s="6"/>
      <c r="D291" s="6"/>
    </row>
    <row r="292" ht="15.75" customHeight="1">
      <c r="C292" s="6"/>
      <c r="D292" s="6"/>
    </row>
    <row r="293" ht="15.75" customHeight="1">
      <c r="C293" s="6"/>
      <c r="D293" s="6"/>
    </row>
    <row r="294" ht="15.75" customHeight="1">
      <c r="C294" s="6"/>
      <c r="D294" s="6"/>
    </row>
    <row r="295" ht="15.75" customHeight="1">
      <c r="C295" s="6"/>
      <c r="D295" s="6"/>
    </row>
    <row r="296" ht="15.75" customHeight="1">
      <c r="C296" s="6"/>
      <c r="D296" s="6"/>
    </row>
    <row r="297" ht="15.75" customHeight="1">
      <c r="C297" s="6"/>
      <c r="D297" s="6"/>
    </row>
    <row r="298" ht="15.75" customHeight="1">
      <c r="C298" s="6"/>
      <c r="D298" s="6"/>
    </row>
    <row r="299" ht="15.75" customHeight="1">
      <c r="C299" s="6"/>
      <c r="D299" s="6"/>
    </row>
    <row r="300" ht="15.75" customHeight="1">
      <c r="C300" s="6"/>
      <c r="D300" s="6"/>
    </row>
    <row r="301" ht="15.75" customHeight="1">
      <c r="C301" s="6"/>
      <c r="D301" s="6"/>
    </row>
    <row r="302" ht="15.75" customHeight="1">
      <c r="C302" s="6"/>
      <c r="D302" s="6"/>
    </row>
    <row r="303" ht="15.75" customHeight="1">
      <c r="C303" s="6"/>
      <c r="D303" s="6"/>
    </row>
    <row r="304" ht="15.75" customHeight="1">
      <c r="C304" s="6"/>
      <c r="D304" s="6"/>
    </row>
    <row r="305" ht="15.75" customHeight="1">
      <c r="C305" s="6"/>
      <c r="D305" s="6"/>
    </row>
    <row r="306" ht="15.75" customHeight="1">
      <c r="C306" s="6"/>
      <c r="D306" s="6"/>
    </row>
    <row r="307" ht="15.75" customHeight="1">
      <c r="C307" s="6"/>
      <c r="D307" s="6"/>
    </row>
    <row r="308" ht="15.75" customHeight="1">
      <c r="C308" s="6"/>
      <c r="D308" s="6"/>
    </row>
    <row r="309" ht="15.75" customHeight="1">
      <c r="C309" s="6"/>
      <c r="D309" s="6"/>
    </row>
    <row r="310" ht="15.75" customHeight="1">
      <c r="C310" s="6"/>
      <c r="D310" s="6"/>
    </row>
    <row r="311" ht="15.75" customHeight="1">
      <c r="C311" s="6"/>
      <c r="D311" s="6"/>
    </row>
    <row r="312" ht="15.75" customHeight="1">
      <c r="C312" s="6"/>
      <c r="D312" s="6"/>
    </row>
    <row r="313" ht="15.75" customHeight="1">
      <c r="C313" s="6"/>
      <c r="D313" s="6"/>
    </row>
    <row r="314" ht="15.75" customHeight="1">
      <c r="C314" s="6"/>
      <c r="D314" s="6"/>
    </row>
    <row r="315" ht="15.75" customHeight="1">
      <c r="C315" s="6"/>
      <c r="D315" s="6"/>
    </row>
    <row r="316" ht="15.75" customHeight="1">
      <c r="C316" s="6"/>
      <c r="D316" s="6"/>
    </row>
    <row r="317" ht="15.75" customHeight="1">
      <c r="C317" s="6"/>
      <c r="D317" s="6"/>
    </row>
    <row r="318" ht="15.75" customHeight="1">
      <c r="C318" s="6"/>
      <c r="D318" s="6"/>
    </row>
    <row r="319" ht="15.75" customHeight="1">
      <c r="C319" s="6"/>
      <c r="D319" s="6"/>
    </row>
    <row r="320" ht="15.75" customHeight="1">
      <c r="C320" s="6"/>
      <c r="D320" s="6"/>
    </row>
    <row r="321" ht="15.75" customHeight="1">
      <c r="C321" s="6"/>
      <c r="D321" s="6"/>
    </row>
    <row r="322" ht="15.75" customHeight="1">
      <c r="C322" s="6"/>
      <c r="D322" s="6"/>
    </row>
    <row r="323" ht="15.75" customHeight="1">
      <c r="C323" s="6"/>
      <c r="D323" s="6"/>
    </row>
    <row r="324" ht="15.75" customHeight="1">
      <c r="C324" s="6"/>
      <c r="D324" s="6"/>
    </row>
    <row r="325" ht="15.75" customHeight="1">
      <c r="C325" s="6"/>
      <c r="D325" s="6"/>
    </row>
    <row r="326" ht="15.75" customHeight="1">
      <c r="C326" s="6"/>
      <c r="D326" s="6"/>
    </row>
    <row r="327" ht="15.75" customHeight="1">
      <c r="C327" s="6"/>
      <c r="D327" s="6"/>
    </row>
    <row r="328" ht="15.75" customHeight="1">
      <c r="C328" s="6"/>
      <c r="D328" s="6"/>
    </row>
    <row r="329" ht="15.75" customHeight="1">
      <c r="C329" s="6"/>
      <c r="D329" s="6"/>
    </row>
    <row r="330" ht="15.75" customHeight="1">
      <c r="C330" s="6"/>
      <c r="D330" s="6"/>
    </row>
    <row r="331" ht="15.75" customHeight="1">
      <c r="C331" s="6"/>
      <c r="D331" s="6"/>
    </row>
    <row r="332" ht="15.75" customHeight="1">
      <c r="C332" s="6"/>
      <c r="D332" s="6"/>
    </row>
    <row r="333" ht="15.75" customHeight="1">
      <c r="C333" s="6"/>
      <c r="D333" s="6"/>
    </row>
    <row r="334" ht="15.75" customHeight="1">
      <c r="C334" s="6"/>
      <c r="D334" s="6"/>
    </row>
    <row r="335" ht="15.75" customHeight="1">
      <c r="C335" s="6"/>
      <c r="D335" s="6"/>
    </row>
    <row r="336" ht="15.75" customHeight="1">
      <c r="C336" s="6"/>
      <c r="D336" s="6"/>
    </row>
    <row r="337" ht="15.75" customHeight="1">
      <c r="C337" s="6"/>
      <c r="D337" s="6"/>
    </row>
    <row r="338" ht="15.75" customHeight="1">
      <c r="C338" s="6"/>
      <c r="D338" s="6"/>
    </row>
    <row r="339" ht="15.75" customHeight="1">
      <c r="C339" s="6"/>
      <c r="D339" s="6"/>
    </row>
    <row r="340" ht="15.75" customHeight="1">
      <c r="C340" s="6"/>
      <c r="D340" s="6"/>
    </row>
    <row r="341" ht="15.75" customHeight="1">
      <c r="C341" s="6"/>
      <c r="D341" s="6"/>
    </row>
    <row r="342" ht="15.75" customHeight="1">
      <c r="C342" s="6"/>
      <c r="D342" s="6"/>
    </row>
    <row r="343" ht="15.75" customHeight="1">
      <c r="C343" s="6"/>
      <c r="D343" s="6"/>
    </row>
    <row r="344" ht="15.75" customHeight="1">
      <c r="C344" s="6"/>
      <c r="D344" s="6"/>
    </row>
    <row r="345" ht="15.75" customHeight="1">
      <c r="C345" s="6"/>
      <c r="D345" s="6"/>
    </row>
    <row r="346" ht="15.75" customHeight="1">
      <c r="C346" s="6"/>
      <c r="D346" s="6"/>
    </row>
    <row r="347" ht="15.75" customHeight="1">
      <c r="C347" s="6"/>
      <c r="D347" s="6"/>
    </row>
    <row r="348" ht="15.75" customHeight="1">
      <c r="C348" s="6"/>
      <c r="D348" s="6"/>
    </row>
    <row r="349" ht="15.75" customHeight="1">
      <c r="C349" s="6"/>
      <c r="D349" s="6"/>
    </row>
    <row r="350" ht="15.75" customHeight="1">
      <c r="C350" s="6"/>
      <c r="D350" s="6"/>
    </row>
    <row r="351" ht="15.75" customHeight="1">
      <c r="C351" s="6"/>
      <c r="D351" s="6"/>
    </row>
    <row r="352" ht="15.75" customHeight="1">
      <c r="C352" s="6"/>
      <c r="D352" s="6"/>
    </row>
    <row r="353" ht="15.75" customHeight="1">
      <c r="C353" s="6"/>
      <c r="D353" s="6"/>
    </row>
    <row r="354" ht="15.75" customHeight="1">
      <c r="C354" s="6"/>
      <c r="D354" s="6"/>
    </row>
    <row r="355" ht="15.75" customHeight="1">
      <c r="C355" s="6"/>
      <c r="D355" s="6"/>
    </row>
    <row r="356" ht="15.75" customHeight="1">
      <c r="C356" s="6"/>
      <c r="D356" s="6"/>
    </row>
    <row r="357" ht="15.75" customHeight="1">
      <c r="C357" s="6"/>
      <c r="D357" s="6"/>
    </row>
    <row r="358" ht="15.75" customHeight="1">
      <c r="C358" s="6"/>
      <c r="D358" s="6"/>
    </row>
    <row r="359" ht="15.75" customHeight="1">
      <c r="C359" s="6"/>
      <c r="D359" s="6"/>
    </row>
    <row r="360" ht="15.75" customHeight="1">
      <c r="C360" s="6"/>
      <c r="D360" s="6"/>
    </row>
    <row r="361" ht="15.75" customHeight="1">
      <c r="C361" s="6"/>
      <c r="D361" s="6"/>
    </row>
    <row r="362" ht="15.75" customHeight="1">
      <c r="C362" s="6"/>
      <c r="D362" s="6"/>
    </row>
    <row r="363" ht="15.75" customHeight="1">
      <c r="C363" s="6"/>
      <c r="D363" s="6"/>
    </row>
    <row r="364" ht="15.75" customHeight="1">
      <c r="C364" s="6"/>
      <c r="D364" s="6"/>
    </row>
    <row r="365" ht="15.75" customHeight="1">
      <c r="C365" s="6"/>
      <c r="D365" s="6"/>
    </row>
    <row r="366" ht="15.75" customHeight="1">
      <c r="C366" s="6"/>
      <c r="D366" s="6"/>
    </row>
    <row r="367" ht="15.75" customHeight="1">
      <c r="C367" s="6"/>
      <c r="D367" s="6"/>
    </row>
    <row r="368" ht="15.75" customHeight="1">
      <c r="C368" s="6"/>
      <c r="D368" s="6"/>
    </row>
    <row r="369" ht="15.75" customHeight="1">
      <c r="C369" s="6"/>
      <c r="D369" s="6"/>
    </row>
    <row r="370" ht="15.75" customHeight="1">
      <c r="C370" s="6"/>
      <c r="D370" s="6"/>
    </row>
    <row r="371" ht="15.75" customHeight="1">
      <c r="C371" s="6"/>
      <c r="D371" s="6"/>
    </row>
    <row r="372" ht="15.75" customHeight="1">
      <c r="C372" s="6"/>
      <c r="D372" s="6"/>
    </row>
    <row r="373" ht="15.75" customHeight="1">
      <c r="C373" s="6"/>
      <c r="D373" s="6"/>
    </row>
    <row r="374" ht="15.75" customHeight="1">
      <c r="C374" s="6"/>
      <c r="D374" s="6"/>
    </row>
    <row r="375" ht="15.75" customHeight="1">
      <c r="C375" s="6"/>
      <c r="D375" s="6"/>
    </row>
    <row r="376" ht="15.75" customHeight="1">
      <c r="C376" s="6"/>
      <c r="D376" s="6"/>
    </row>
    <row r="377" ht="15.75" customHeight="1">
      <c r="C377" s="6"/>
      <c r="D377" s="6"/>
    </row>
    <row r="378" ht="15.75" customHeight="1">
      <c r="C378" s="6"/>
      <c r="D378" s="6"/>
    </row>
    <row r="379" ht="15.75" customHeight="1">
      <c r="C379" s="6"/>
      <c r="D379" s="6"/>
    </row>
    <row r="380" ht="15.75" customHeight="1">
      <c r="C380" s="6"/>
      <c r="D380" s="6"/>
    </row>
    <row r="381" ht="15.75" customHeight="1">
      <c r="C381" s="6"/>
      <c r="D381" s="6"/>
    </row>
    <row r="382" ht="15.75" customHeight="1">
      <c r="C382" s="6"/>
      <c r="D382" s="6"/>
    </row>
    <row r="383" ht="15.75" customHeight="1">
      <c r="C383" s="6"/>
      <c r="D383" s="6"/>
    </row>
    <row r="384" ht="15.75" customHeight="1">
      <c r="C384" s="6"/>
      <c r="D384" s="6"/>
    </row>
    <row r="385" ht="15.75" customHeight="1">
      <c r="C385" s="6"/>
      <c r="D385" s="6"/>
    </row>
    <row r="386" ht="15.75" customHeight="1">
      <c r="C386" s="6"/>
      <c r="D386" s="6"/>
    </row>
    <row r="387" ht="15.75" customHeight="1">
      <c r="C387" s="6"/>
      <c r="D387" s="6"/>
    </row>
    <row r="388" ht="15.75" customHeight="1">
      <c r="C388" s="6"/>
      <c r="D388" s="6"/>
    </row>
    <row r="389" ht="15.75" customHeight="1">
      <c r="C389" s="6"/>
      <c r="D389" s="6"/>
    </row>
    <row r="390" ht="15.75" customHeight="1">
      <c r="C390" s="6"/>
      <c r="D390" s="6"/>
    </row>
    <row r="391" ht="15.75" customHeight="1">
      <c r="C391" s="6"/>
      <c r="D391" s="6"/>
    </row>
    <row r="392" ht="15.75" customHeight="1">
      <c r="C392" s="6"/>
      <c r="D392" s="6"/>
    </row>
    <row r="393" ht="15.75" customHeight="1">
      <c r="C393" s="6"/>
      <c r="D393" s="6"/>
    </row>
    <row r="394" ht="15.75" customHeight="1">
      <c r="C394" s="6"/>
      <c r="D394" s="6"/>
    </row>
    <row r="395" ht="15.75" customHeight="1">
      <c r="C395" s="6"/>
      <c r="D395" s="6"/>
    </row>
    <row r="396" ht="15.75" customHeight="1">
      <c r="C396" s="6"/>
      <c r="D396" s="6"/>
    </row>
    <row r="397" ht="15.75" customHeight="1">
      <c r="C397" s="6"/>
      <c r="D397" s="6"/>
    </row>
    <row r="398" ht="15.75" customHeight="1">
      <c r="C398" s="6"/>
      <c r="D398" s="6"/>
    </row>
    <row r="399" ht="15.75" customHeight="1">
      <c r="C399" s="6"/>
      <c r="D399" s="6"/>
    </row>
    <row r="400" ht="15.75" customHeight="1">
      <c r="C400" s="6"/>
      <c r="D400" s="6"/>
    </row>
    <row r="401" ht="15.75" customHeight="1">
      <c r="C401" s="6"/>
      <c r="D401" s="6"/>
    </row>
    <row r="402" ht="15.75" customHeight="1">
      <c r="C402" s="6"/>
      <c r="D402" s="6"/>
    </row>
    <row r="403" ht="15.75" customHeight="1">
      <c r="C403" s="6"/>
      <c r="D403" s="6"/>
    </row>
    <row r="404" ht="15.75" customHeight="1">
      <c r="C404" s="6"/>
      <c r="D404" s="6"/>
    </row>
    <row r="405" ht="15.75" customHeight="1">
      <c r="C405" s="6"/>
      <c r="D405" s="6"/>
    </row>
    <row r="406" ht="15.75" customHeight="1">
      <c r="C406" s="6"/>
      <c r="D406" s="6"/>
    </row>
    <row r="407" ht="15.75" customHeight="1">
      <c r="C407" s="6"/>
      <c r="D407" s="6"/>
    </row>
    <row r="408" ht="15.75" customHeight="1">
      <c r="C408" s="6"/>
      <c r="D408" s="6"/>
    </row>
    <row r="409" ht="15.75" customHeight="1">
      <c r="C409" s="6"/>
      <c r="D409" s="6"/>
    </row>
    <row r="410" ht="15.75" customHeight="1">
      <c r="C410" s="6"/>
      <c r="D410" s="6"/>
    </row>
    <row r="411" ht="15.75" customHeight="1">
      <c r="C411" s="6"/>
      <c r="D411" s="6"/>
    </row>
    <row r="412" ht="15.75" customHeight="1">
      <c r="C412" s="6"/>
      <c r="D412" s="6"/>
    </row>
    <row r="413" ht="15.75" customHeight="1">
      <c r="C413" s="6"/>
      <c r="D413" s="6"/>
    </row>
    <row r="414" ht="15.75" customHeight="1">
      <c r="C414" s="6"/>
      <c r="D414" s="6"/>
    </row>
    <row r="415" ht="15.75" customHeight="1">
      <c r="C415" s="6"/>
      <c r="D415" s="6"/>
    </row>
    <row r="416" ht="15.75" customHeight="1">
      <c r="C416" s="6"/>
      <c r="D416" s="6"/>
    </row>
    <row r="417" ht="15.75" customHeight="1">
      <c r="C417" s="6"/>
      <c r="D417" s="6"/>
    </row>
    <row r="418" ht="15.75" customHeight="1">
      <c r="C418" s="6"/>
      <c r="D418" s="6"/>
    </row>
    <row r="419" ht="15.75" customHeight="1">
      <c r="C419" s="6"/>
      <c r="D419" s="6"/>
    </row>
    <row r="420" ht="15.75" customHeight="1">
      <c r="C420" s="6"/>
      <c r="D420" s="6"/>
    </row>
    <row r="421" ht="15.75" customHeight="1">
      <c r="C421" s="6"/>
      <c r="D421" s="6"/>
    </row>
    <row r="422" ht="15.75" customHeight="1">
      <c r="C422" s="6"/>
      <c r="D422" s="6"/>
    </row>
    <row r="423" ht="15.75" customHeight="1">
      <c r="C423" s="6"/>
      <c r="D423" s="6"/>
    </row>
    <row r="424" ht="15.75" customHeight="1">
      <c r="C424" s="6"/>
      <c r="D424" s="6"/>
    </row>
    <row r="425" ht="15.75" customHeight="1">
      <c r="C425" s="6"/>
      <c r="D425" s="6"/>
    </row>
    <row r="426" ht="15.75" customHeight="1">
      <c r="C426" s="6"/>
      <c r="D426" s="6"/>
    </row>
    <row r="427" ht="15.75" customHeight="1">
      <c r="C427" s="6"/>
      <c r="D427" s="6"/>
    </row>
    <row r="428" ht="15.75" customHeight="1">
      <c r="C428" s="6"/>
      <c r="D428" s="6"/>
    </row>
    <row r="429" ht="15.75" customHeight="1">
      <c r="C429" s="6"/>
      <c r="D429" s="6"/>
    </row>
    <row r="430" ht="15.75" customHeight="1">
      <c r="C430" s="6"/>
      <c r="D430" s="6"/>
    </row>
    <row r="431" ht="15.75" customHeight="1">
      <c r="C431" s="6"/>
      <c r="D431" s="6"/>
    </row>
    <row r="432" ht="15.75" customHeight="1">
      <c r="C432" s="6"/>
      <c r="D432" s="6"/>
    </row>
    <row r="433" ht="15.75" customHeight="1">
      <c r="C433" s="6"/>
      <c r="D433" s="6"/>
    </row>
    <row r="434" ht="15.75" customHeight="1">
      <c r="C434" s="6"/>
      <c r="D434" s="6"/>
    </row>
    <row r="435" ht="15.75" customHeight="1">
      <c r="C435" s="6"/>
      <c r="D435" s="6"/>
    </row>
    <row r="436" ht="15.75" customHeight="1">
      <c r="C436" s="6"/>
      <c r="D436" s="6"/>
    </row>
    <row r="437" ht="15.75" customHeight="1">
      <c r="C437" s="6"/>
      <c r="D437" s="6"/>
    </row>
    <row r="438" ht="15.75" customHeight="1">
      <c r="C438" s="6"/>
      <c r="D438" s="6"/>
    </row>
    <row r="439" ht="15.75" customHeight="1">
      <c r="C439" s="6"/>
      <c r="D439" s="6"/>
    </row>
    <row r="440" ht="15.75" customHeight="1">
      <c r="C440" s="6"/>
      <c r="D440" s="6"/>
    </row>
    <row r="441" ht="15.75" customHeight="1">
      <c r="C441" s="6"/>
      <c r="D441" s="6"/>
    </row>
    <row r="442" ht="15.75" customHeight="1">
      <c r="C442" s="6"/>
      <c r="D442" s="6"/>
    </row>
    <row r="443" ht="15.75" customHeight="1">
      <c r="C443" s="6"/>
      <c r="D443" s="6"/>
    </row>
    <row r="444" ht="15.75" customHeight="1">
      <c r="C444" s="6"/>
      <c r="D444" s="6"/>
    </row>
    <row r="445" ht="15.75" customHeight="1">
      <c r="C445" s="6"/>
      <c r="D445" s="6"/>
    </row>
    <row r="446" ht="15.75" customHeight="1">
      <c r="C446" s="6"/>
      <c r="D446" s="6"/>
    </row>
    <row r="447" ht="15.75" customHeight="1">
      <c r="C447" s="6"/>
      <c r="D447" s="6"/>
    </row>
    <row r="448" ht="15.75" customHeight="1">
      <c r="C448" s="6"/>
      <c r="D448" s="6"/>
    </row>
    <row r="449" ht="15.75" customHeight="1">
      <c r="C449" s="6"/>
      <c r="D449" s="6"/>
    </row>
    <row r="450" ht="15.75" customHeight="1">
      <c r="C450" s="6"/>
      <c r="D450" s="6"/>
    </row>
    <row r="451" ht="15.75" customHeight="1">
      <c r="C451" s="6"/>
      <c r="D451" s="6"/>
    </row>
    <row r="452" ht="15.75" customHeight="1">
      <c r="C452" s="6"/>
      <c r="D452" s="6"/>
    </row>
    <row r="453" ht="15.75" customHeight="1">
      <c r="C453" s="6"/>
      <c r="D453" s="6"/>
    </row>
    <row r="454" ht="15.75" customHeight="1">
      <c r="C454" s="6"/>
      <c r="D454" s="6"/>
    </row>
    <row r="455" ht="15.75" customHeight="1">
      <c r="C455" s="6"/>
      <c r="D455" s="6"/>
    </row>
    <row r="456" ht="15.75" customHeight="1">
      <c r="C456" s="6"/>
      <c r="D456" s="6"/>
    </row>
    <row r="457" ht="15.75" customHeight="1">
      <c r="C457" s="6"/>
      <c r="D457" s="6"/>
    </row>
    <row r="458" ht="15.75" customHeight="1">
      <c r="C458" s="6"/>
      <c r="D458" s="6"/>
    </row>
    <row r="459" ht="15.75" customHeight="1">
      <c r="C459" s="6"/>
      <c r="D459" s="6"/>
    </row>
    <row r="460" ht="15.75" customHeight="1">
      <c r="C460" s="6"/>
      <c r="D460" s="6"/>
    </row>
    <row r="461" ht="15.75" customHeight="1">
      <c r="C461" s="6"/>
      <c r="D461" s="6"/>
    </row>
    <row r="462" ht="15.75" customHeight="1">
      <c r="C462" s="6"/>
      <c r="D462" s="6"/>
    </row>
    <row r="463" ht="15.75" customHeight="1">
      <c r="C463" s="6"/>
      <c r="D463" s="6"/>
    </row>
    <row r="464" ht="15.75" customHeight="1">
      <c r="C464" s="6"/>
      <c r="D464" s="6"/>
    </row>
    <row r="465" ht="15.75" customHeight="1">
      <c r="C465" s="6"/>
      <c r="D465" s="6"/>
    </row>
    <row r="466" ht="15.75" customHeight="1">
      <c r="C466" s="6"/>
      <c r="D466" s="6"/>
    </row>
    <row r="467" ht="15.75" customHeight="1">
      <c r="C467" s="6"/>
      <c r="D467" s="6"/>
    </row>
    <row r="468" ht="15.75" customHeight="1">
      <c r="C468" s="6"/>
      <c r="D468" s="6"/>
    </row>
    <row r="469" ht="15.75" customHeight="1">
      <c r="C469" s="6"/>
      <c r="D469" s="6"/>
    </row>
    <row r="470" ht="15.75" customHeight="1">
      <c r="C470" s="6"/>
      <c r="D470" s="6"/>
    </row>
    <row r="471" ht="15.75" customHeight="1">
      <c r="C471" s="6"/>
      <c r="D471" s="6"/>
    </row>
    <row r="472" ht="15.75" customHeight="1">
      <c r="C472" s="6"/>
      <c r="D472" s="6"/>
    </row>
    <row r="473" ht="15.75" customHeight="1">
      <c r="C473" s="6"/>
      <c r="D473" s="6"/>
    </row>
    <row r="474" ht="15.75" customHeight="1">
      <c r="C474" s="6"/>
      <c r="D474" s="6"/>
    </row>
    <row r="475" ht="15.75" customHeight="1">
      <c r="C475" s="6"/>
      <c r="D475" s="6"/>
    </row>
    <row r="476" ht="15.75" customHeight="1">
      <c r="C476" s="6"/>
      <c r="D476" s="6"/>
    </row>
    <row r="477" ht="15.75" customHeight="1">
      <c r="C477" s="6"/>
      <c r="D477" s="6"/>
    </row>
    <row r="478" ht="15.75" customHeight="1">
      <c r="C478" s="6"/>
      <c r="D478" s="6"/>
    </row>
    <row r="479" ht="15.75" customHeight="1">
      <c r="C479" s="6"/>
      <c r="D479" s="6"/>
    </row>
    <row r="480" ht="15.75" customHeight="1">
      <c r="C480" s="6"/>
      <c r="D480" s="6"/>
    </row>
    <row r="481" ht="15.75" customHeight="1">
      <c r="C481" s="6"/>
      <c r="D481" s="6"/>
    </row>
    <row r="482" ht="15.75" customHeight="1">
      <c r="C482" s="6"/>
      <c r="D482" s="6"/>
    </row>
    <row r="483" ht="15.75" customHeight="1">
      <c r="C483" s="6"/>
      <c r="D483" s="6"/>
    </row>
    <row r="484" ht="15.75" customHeight="1">
      <c r="C484" s="6"/>
      <c r="D484" s="6"/>
    </row>
    <row r="485" ht="15.75" customHeight="1">
      <c r="C485" s="6"/>
      <c r="D485" s="6"/>
    </row>
    <row r="486" ht="15.75" customHeight="1">
      <c r="C486" s="6"/>
      <c r="D486" s="6"/>
    </row>
    <row r="487" ht="15.75" customHeight="1">
      <c r="C487" s="6"/>
      <c r="D487" s="6"/>
    </row>
    <row r="488" ht="15.75" customHeight="1">
      <c r="C488" s="6"/>
      <c r="D488" s="6"/>
    </row>
    <row r="489" ht="15.75" customHeight="1">
      <c r="C489" s="6"/>
      <c r="D489" s="6"/>
    </row>
    <row r="490" ht="15.75" customHeight="1">
      <c r="C490" s="6"/>
      <c r="D490" s="6"/>
    </row>
    <row r="491" ht="15.75" customHeight="1">
      <c r="C491" s="6"/>
      <c r="D491" s="6"/>
    </row>
    <row r="492" ht="15.75" customHeight="1">
      <c r="C492" s="6"/>
      <c r="D492" s="6"/>
    </row>
    <row r="493" ht="15.75" customHeight="1">
      <c r="C493" s="6"/>
      <c r="D493" s="6"/>
    </row>
    <row r="494" ht="15.75" customHeight="1">
      <c r="C494" s="6"/>
      <c r="D494" s="6"/>
    </row>
    <row r="495" ht="15.75" customHeight="1">
      <c r="C495" s="6"/>
      <c r="D495" s="6"/>
    </row>
    <row r="496" ht="15.75" customHeight="1">
      <c r="C496" s="6"/>
      <c r="D496" s="6"/>
    </row>
    <row r="497" ht="15.75" customHeight="1">
      <c r="C497" s="6"/>
      <c r="D497" s="6"/>
    </row>
    <row r="498" ht="15.75" customHeight="1">
      <c r="C498" s="6"/>
      <c r="D498" s="6"/>
    </row>
    <row r="499" ht="15.75" customHeight="1">
      <c r="C499" s="6"/>
      <c r="D499" s="6"/>
    </row>
    <row r="500" ht="15.75" customHeight="1">
      <c r="C500" s="6"/>
      <c r="D500" s="6"/>
    </row>
    <row r="501" ht="15.75" customHeight="1">
      <c r="C501" s="6"/>
      <c r="D501" s="6"/>
    </row>
    <row r="502" ht="15.75" customHeight="1">
      <c r="C502" s="6"/>
      <c r="D502" s="6"/>
    </row>
    <row r="503" ht="15.75" customHeight="1">
      <c r="C503" s="6"/>
      <c r="D503" s="6"/>
    </row>
    <row r="504" ht="15.75" customHeight="1">
      <c r="C504" s="6"/>
      <c r="D504" s="6"/>
    </row>
    <row r="505" ht="15.75" customHeight="1">
      <c r="C505" s="6"/>
      <c r="D505" s="6"/>
    </row>
    <row r="506" ht="15.75" customHeight="1">
      <c r="C506" s="6"/>
      <c r="D506" s="6"/>
    </row>
    <row r="507" ht="15.75" customHeight="1">
      <c r="C507" s="6"/>
      <c r="D507" s="6"/>
    </row>
    <row r="508" ht="15.75" customHeight="1">
      <c r="C508" s="6"/>
      <c r="D508" s="6"/>
    </row>
    <row r="509" ht="15.75" customHeight="1">
      <c r="C509" s="6"/>
      <c r="D509" s="6"/>
    </row>
    <row r="510" ht="15.75" customHeight="1">
      <c r="C510" s="6"/>
      <c r="D510" s="6"/>
    </row>
    <row r="511" ht="15.75" customHeight="1">
      <c r="C511" s="6"/>
      <c r="D511" s="6"/>
    </row>
    <row r="512" ht="15.75" customHeight="1">
      <c r="C512" s="6"/>
      <c r="D512" s="6"/>
    </row>
    <row r="513" ht="15.75" customHeight="1">
      <c r="C513" s="6"/>
      <c r="D513" s="6"/>
    </row>
    <row r="514" ht="15.75" customHeight="1">
      <c r="C514" s="6"/>
      <c r="D514" s="6"/>
    </row>
    <row r="515" ht="15.75" customHeight="1">
      <c r="C515" s="6"/>
      <c r="D515" s="6"/>
    </row>
    <row r="516" ht="15.75" customHeight="1">
      <c r="C516" s="6"/>
      <c r="D516" s="6"/>
    </row>
    <row r="517" ht="15.75" customHeight="1">
      <c r="C517" s="6"/>
      <c r="D517" s="6"/>
    </row>
    <row r="518" ht="15.75" customHeight="1">
      <c r="C518" s="6"/>
      <c r="D518" s="6"/>
    </row>
    <row r="519" ht="15.75" customHeight="1">
      <c r="C519" s="6"/>
      <c r="D519" s="6"/>
    </row>
    <row r="520" ht="15.75" customHeight="1">
      <c r="C520" s="6"/>
      <c r="D520" s="6"/>
    </row>
    <row r="521" ht="15.75" customHeight="1">
      <c r="C521" s="6"/>
      <c r="D521" s="6"/>
    </row>
    <row r="522" ht="15.75" customHeight="1">
      <c r="C522" s="6"/>
      <c r="D522" s="6"/>
    </row>
    <row r="523" ht="15.75" customHeight="1">
      <c r="C523" s="6"/>
      <c r="D523" s="6"/>
    </row>
    <row r="524" ht="15.75" customHeight="1">
      <c r="C524" s="6"/>
      <c r="D524" s="6"/>
    </row>
    <row r="525" ht="15.75" customHeight="1">
      <c r="C525" s="6"/>
      <c r="D525" s="6"/>
    </row>
    <row r="526" ht="15.75" customHeight="1">
      <c r="C526" s="6"/>
      <c r="D526" s="6"/>
    </row>
    <row r="527" ht="15.75" customHeight="1">
      <c r="C527" s="6"/>
      <c r="D527" s="6"/>
    </row>
    <row r="528" ht="15.75" customHeight="1">
      <c r="C528" s="6"/>
      <c r="D528" s="6"/>
    </row>
    <row r="529" ht="15.75" customHeight="1">
      <c r="C529" s="6"/>
      <c r="D529" s="6"/>
    </row>
    <row r="530" ht="15.75" customHeight="1">
      <c r="C530" s="6"/>
      <c r="D530" s="6"/>
    </row>
    <row r="531" ht="15.75" customHeight="1">
      <c r="C531" s="6"/>
      <c r="D531" s="6"/>
    </row>
    <row r="532" ht="15.75" customHeight="1">
      <c r="C532" s="6"/>
      <c r="D532" s="6"/>
    </row>
    <row r="533" ht="15.75" customHeight="1">
      <c r="C533" s="6"/>
      <c r="D533" s="6"/>
    </row>
    <row r="534" ht="15.75" customHeight="1">
      <c r="C534" s="6"/>
      <c r="D534" s="6"/>
    </row>
    <row r="535" ht="15.75" customHeight="1">
      <c r="C535" s="6"/>
      <c r="D535" s="6"/>
    </row>
    <row r="536" ht="15.75" customHeight="1">
      <c r="C536" s="6"/>
      <c r="D536" s="6"/>
    </row>
    <row r="537" ht="15.75" customHeight="1">
      <c r="C537" s="6"/>
      <c r="D537" s="6"/>
    </row>
    <row r="538" ht="15.75" customHeight="1">
      <c r="C538" s="6"/>
      <c r="D538" s="6"/>
    </row>
    <row r="539" ht="15.75" customHeight="1">
      <c r="C539" s="6"/>
      <c r="D539" s="6"/>
    </row>
    <row r="540" ht="15.75" customHeight="1">
      <c r="C540" s="6"/>
      <c r="D540" s="6"/>
    </row>
    <row r="541" ht="15.75" customHeight="1">
      <c r="C541" s="6"/>
      <c r="D541" s="6"/>
    </row>
    <row r="542" ht="15.75" customHeight="1">
      <c r="C542" s="6"/>
      <c r="D542" s="6"/>
    </row>
    <row r="543" ht="15.75" customHeight="1">
      <c r="C543" s="6"/>
      <c r="D543" s="6"/>
    </row>
    <row r="544" ht="15.75" customHeight="1">
      <c r="C544" s="6"/>
      <c r="D544" s="6"/>
    </row>
    <row r="545" ht="15.75" customHeight="1">
      <c r="C545" s="6"/>
      <c r="D545" s="6"/>
    </row>
    <row r="546" ht="15.75" customHeight="1">
      <c r="C546" s="6"/>
      <c r="D546" s="6"/>
    </row>
    <row r="547" ht="15.75" customHeight="1">
      <c r="C547" s="6"/>
      <c r="D547" s="6"/>
    </row>
    <row r="548" ht="15.75" customHeight="1">
      <c r="C548" s="6"/>
      <c r="D548" s="6"/>
    </row>
    <row r="549" ht="15.75" customHeight="1">
      <c r="C549" s="6"/>
      <c r="D549" s="6"/>
    </row>
    <row r="550" ht="15.75" customHeight="1">
      <c r="C550" s="6"/>
      <c r="D550" s="6"/>
    </row>
    <row r="551" ht="15.75" customHeight="1">
      <c r="C551" s="6"/>
      <c r="D551" s="6"/>
    </row>
    <row r="552" ht="15.75" customHeight="1">
      <c r="C552" s="6"/>
      <c r="D552" s="6"/>
    </row>
    <row r="553" ht="15.75" customHeight="1">
      <c r="C553" s="6"/>
      <c r="D553" s="6"/>
    </row>
    <row r="554" ht="15.75" customHeight="1">
      <c r="C554" s="6"/>
      <c r="D554" s="6"/>
    </row>
    <row r="555" ht="15.75" customHeight="1">
      <c r="C555" s="6"/>
      <c r="D555" s="6"/>
    </row>
    <row r="556" ht="15.75" customHeight="1">
      <c r="C556" s="6"/>
      <c r="D556" s="6"/>
    </row>
    <row r="557" ht="15.75" customHeight="1">
      <c r="C557" s="6"/>
      <c r="D557" s="6"/>
    </row>
    <row r="558" ht="15.75" customHeight="1">
      <c r="C558" s="6"/>
      <c r="D558" s="6"/>
    </row>
    <row r="559" ht="15.75" customHeight="1">
      <c r="C559" s="6"/>
      <c r="D559" s="6"/>
    </row>
    <row r="560" ht="15.75" customHeight="1">
      <c r="C560" s="6"/>
      <c r="D560" s="6"/>
    </row>
    <row r="561" ht="15.75" customHeight="1">
      <c r="C561" s="6"/>
      <c r="D561" s="6"/>
    </row>
    <row r="562" ht="15.75" customHeight="1">
      <c r="C562" s="6"/>
      <c r="D562" s="6"/>
    </row>
    <row r="563" ht="15.75" customHeight="1">
      <c r="C563" s="6"/>
      <c r="D563" s="6"/>
    </row>
    <row r="564" ht="15.75" customHeight="1">
      <c r="C564" s="6"/>
      <c r="D564" s="6"/>
    </row>
    <row r="565" ht="15.75" customHeight="1">
      <c r="C565" s="6"/>
      <c r="D565" s="6"/>
    </row>
    <row r="566" ht="15.75" customHeight="1">
      <c r="C566" s="6"/>
      <c r="D566" s="6"/>
    </row>
    <row r="567" ht="15.75" customHeight="1">
      <c r="C567" s="6"/>
      <c r="D567" s="6"/>
    </row>
    <row r="568" ht="15.75" customHeight="1">
      <c r="C568" s="6"/>
      <c r="D568" s="6"/>
    </row>
    <row r="569" ht="15.75" customHeight="1">
      <c r="C569" s="6"/>
      <c r="D569" s="6"/>
    </row>
    <row r="570" ht="15.75" customHeight="1">
      <c r="C570" s="6"/>
      <c r="D570" s="6"/>
    </row>
    <row r="571" ht="15.75" customHeight="1">
      <c r="C571" s="6"/>
      <c r="D571" s="6"/>
    </row>
    <row r="572" ht="15.75" customHeight="1">
      <c r="C572" s="6"/>
      <c r="D572" s="6"/>
    </row>
    <row r="573" ht="15.75" customHeight="1">
      <c r="C573" s="6"/>
      <c r="D573" s="6"/>
    </row>
    <row r="574" ht="15.75" customHeight="1">
      <c r="C574" s="6"/>
      <c r="D574" s="6"/>
    </row>
    <row r="575" ht="15.75" customHeight="1">
      <c r="C575" s="6"/>
      <c r="D575" s="6"/>
    </row>
    <row r="576" ht="15.75" customHeight="1">
      <c r="C576" s="6"/>
      <c r="D576" s="6"/>
    </row>
    <row r="577" ht="15.75" customHeight="1">
      <c r="C577" s="6"/>
      <c r="D577" s="6"/>
    </row>
    <row r="578" ht="15.75" customHeight="1">
      <c r="C578" s="6"/>
      <c r="D578" s="6"/>
    </row>
    <row r="579" ht="15.75" customHeight="1">
      <c r="C579" s="6"/>
      <c r="D579" s="6"/>
    </row>
    <row r="580" ht="15.75" customHeight="1">
      <c r="C580" s="6"/>
      <c r="D580" s="6"/>
    </row>
    <row r="581" ht="15.75" customHeight="1">
      <c r="C581" s="6"/>
      <c r="D581" s="6"/>
    </row>
    <row r="582" ht="15.75" customHeight="1">
      <c r="C582" s="6"/>
      <c r="D582" s="6"/>
    </row>
    <row r="583" ht="15.75" customHeight="1">
      <c r="C583" s="6"/>
      <c r="D583" s="6"/>
    </row>
    <row r="584" ht="15.75" customHeight="1">
      <c r="C584" s="6"/>
      <c r="D584" s="6"/>
    </row>
    <row r="585" ht="15.75" customHeight="1">
      <c r="C585" s="6"/>
      <c r="D585" s="6"/>
    </row>
    <row r="586" ht="15.75" customHeight="1">
      <c r="C586" s="6"/>
      <c r="D586" s="6"/>
    </row>
    <row r="587" ht="15.75" customHeight="1">
      <c r="C587" s="6"/>
      <c r="D587" s="6"/>
    </row>
    <row r="588" ht="15.75" customHeight="1">
      <c r="C588" s="6"/>
      <c r="D588" s="6"/>
    </row>
    <row r="589" ht="15.75" customHeight="1">
      <c r="C589" s="6"/>
      <c r="D589" s="6"/>
    </row>
    <row r="590" ht="15.75" customHeight="1">
      <c r="C590" s="6"/>
      <c r="D590" s="6"/>
    </row>
    <row r="591" ht="15.75" customHeight="1">
      <c r="C591" s="6"/>
      <c r="D591" s="6"/>
    </row>
    <row r="592" ht="15.75" customHeight="1">
      <c r="C592" s="6"/>
      <c r="D592" s="6"/>
    </row>
    <row r="593" ht="15.75" customHeight="1">
      <c r="C593" s="6"/>
      <c r="D593" s="6"/>
    </row>
    <row r="594" ht="15.75" customHeight="1">
      <c r="C594" s="6"/>
      <c r="D594" s="6"/>
    </row>
    <row r="595" ht="15.75" customHeight="1">
      <c r="C595" s="6"/>
      <c r="D595" s="6"/>
    </row>
    <row r="596" ht="15.75" customHeight="1">
      <c r="C596" s="6"/>
      <c r="D596" s="6"/>
    </row>
    <row r="597" ht="15.75" customHeight="1">
      <c r="C597" s="6"/>
      <c r="D597" s="6"/>
    </row>
    <row r="598" ht="15.75" customHeight="1">
      <c r="C598" s="6"/>
      <c r="D598" s="6"/>
    </row>
    <row r="599" ht="15.75" customHeight="1">
      <c r="C599" s="6"/>
      <c r="D599" s="6"/>
    </row>
    <row r="600" ht="15.75" customHeight="1">
      <c r="C600" s="6"/>
      <c r="D600" s="6"/>
    </row>
    <row r="601" ht="15.75" customHeight="1">
      <c r="C601" s="6"/>
      <c r="D601" s="6"/>
    </row>
    <row r="602" ht="15.75" customHeight="1">
      <c r="C602" s="6"/>
      <c r="D602" s="6"/>
    </row>
    <row r="603" ht="15.75" customHeight="1">
      <c r="C603" s="6"/>
      <c r="D603" s="6"/>
    </row>
    <row r="604" ht="15.75" customHeight="1">
      <c r="C604" s="6"/>
      <c r="D604" s="6"/>
    </row>
    <row r="605" ht="15.75" customHeight="1">
      <c r="C605" s="6"/>
      <c r="D605" s="6"/>
    </row>
    <row r="606" ht="15.75" customHeight="1">
      <c r="C606" s="6"/>
      <c r="D606" s="6"/>
    </row>
    <row r="607" ht="15.75" customHeight="1">
      <c r="C607" s="6"/>
      <c r="D607" s="6"/>
    </row>
    <row r="608" ht="15.75" customHeight="1">
      <c r="C608" s="6"/>
      <c r="D608" s="6"/>
    </row>
    <row r="609" ht="15.75" customHeight="1">
      <c r="C609" s="6"/>
      <c r="D609" s="6"/>
    </row>
    <row r="610" ht="15.75" customHeight="1">
      <c r="C610" s="6"/>
      <c r="D610" s="6"/>
    </row>
    <row r="611" ht="15.75" customHeight="1">
      <c r="C611" s="6"/>
      <c r="D611" s="6"/>
    </row>
    <row r="612" ht="15.75" customHeight="1">
      <c r="C612" s="6"/>
      <c r="D612" s="6"/>
    </row>
    <row r="613" ht="15.75" customHeight="1">
      <c r="C613" s="6"/>
      <c r="D613" s="6"/>
    </row>
    <row r="614" ht="15.75" customHeight="1">
      <c r="C614" s="6"/>
      <c r="D614" s="6"/>
    </row>
    <row r="615" ht="15.75" customHeight="1">
      <c r="C615" s="6"/>
      <c r="D615" s="6"/>
    </row>
    <row r="616" ht="15.75" customHeight="1">
      <c r="C616" s="6"/>
      <c r="D616" s="6"/>
    </row>
    <row r="617" ht="15.75" customHeight="1">
      <c r="C617" s="6"/>
      <c r="D617" s="6"/>
    </row>
    <row r="618" ht="15.75" customHeight="1">
      <c r="C618" s="6"/>
      <c r="D618" s="6"/>
    </row>
    <row r="619" ht="15.75" customHeight="1">
      <c r="C619" s="6"/>
      <c r="D619" s="6"/>
    </row>
    <row r="620" ht="15.75" customHeight="1">
      <c r="C620" s="6"/>
      <c r="D620" s="6"/>
    </row>
    <row r="621" ht="15.75" customHeight="1">
      <c r="C621" s="6"/>
      <c r="D621" s="6"/>
    </row>
    <row r="622" ht="15.75" customHeight="1">
      <c r="C622" s="6"/>
      <c r="D622" s="6"/>
    </row>
    <row r="623" ht="15.75" customHeight="1">
      <c r="C623" s="6"/>
      <c r="D623" s="6"/>
    </row>
    <row r="624" ht="15.75" customHeight="1">
      <c r="C624" s="6"/>
      <c r="D624" s="6"/>
    </row>
    <row r="625" ht="15.75" customHeight="1">
      <c r="C625" s="6"/>
      <c r="D625" s="6"/>
    </row>
    <row r="626" ht="15.75" customHeight="1">
      <c r="C626" s="6"/>
      <c r="D626" s="6"/>
    </row>
    <row r="627" ht="15.75" customHeight="1">
      <c r="C627" s="6"/>
      <c r="D627" s="6"/>
    </row>
    <row r="628" ht="15.75" customHeight="1">
      <c r="C628" s="6"/>
      <c r="D628" s="6"/>
    </row>
    <row r="629" ht="15.75" customHeight="1">
      <c r="C629" s="6"/>
      <c r="D629" s="6"/>
    </row>
    <row r="630" ht="15.75" customHeight="1">
      <c r="C630" s="6"/>
      <c r="D630" s="6"/>
    </row>
    <row r="631" ht="15.75" customHeight="1">
      <c r="C631" s="6"/>
      <c r="D631" s="6"/>
    </row>
    <row r="632" ht="15.75" customHeight="1">
      <c r="C632" s="6"/>
      <c r="D632" s="6"/>
    </row>
    <row r="633" ht="15.75" customHeight="1">
      <c r="C633" s="6"/>
      <c r="D633" s="6"/>
    </row>
    <row r="634" ht="15.75" customHeight="1">
      <c r="C634" s="6"/>
      <c r="D634" s="6"/>
    </row>
    <row r="635" ht="15.75" customHeight="1">
      <c r="C635" s="6"/>
      <c r="D635" s="6"/>
    </row>
    <row r="636" ht="15.75" customHeight="1">
      <c r="C636" s="6"/>
      <c r="D636" s="6"/>
    </row>
    <row r="637" ht="15.75" customHeight="1">
      <c r="C637" s="6"/>
      <c r="D637" s="6"/>
    </row>
    <row r="638" ht="15.75" customHeight="1">
      <c r="C638" s="6"/>
      <c r="D638" s="6"/>
    </row>
    <row r="639" ht="15.75" customHeight="1">
      <c r="C639" s="6"/>
      <c r="D639" s="6"/>
    </row>
    <row r="640" ht="15.75" customHeight="1">
      <c r="C640" s="6"/>
      <c r="D640" s="6"/>
    </row>
    <row r="641" ht="15.75" customHeight="1">
      <c r="C641" s="6"/>
      <c r="D641" s="6"/>
    </row>
    <row r="642" ht="15.75" customHeight="1">
      <c r="C642" s="6"/>
      <c r="D642" s="6"/>
    </row>
    <row r="643" ht="15.75" customHeight="1">
      <c r="C643" s="6"/>
      <c r="D643" s="6"/>
    </row>
    <row r="644" ht="15.75" customHeight="1">
      <c r="C644" s="6"/>
      <c r="D644" s="6"/>
    </row>
    <row r="645" ht="15.75" customHeight="1">
      <c r="C645" s="6"/>
      <c r="D645" s="6"/>
    </row>
    <row r="646" ht="15.75" customHeight="1">
      <c r="C646" s="6"/>
      <c r="D646" s="6"/>
    </row>
    <row r="647" ht="15.75" customHeight="1">
      <c r="C647" s="6"/>
      <c r="D647" s="6"/>
    </row>
    <row r="648" ht="15.75" customHeight="1">
      <c r="C648" s="6"/>
      <c r="D648" s="6"/>
    </row>
    <row r="649" ht="15.75" customHeight="1">
      <c r="C649" s="6"/>
      <c r="D649" s="6"/>
    </row>
    <row r="650" ht="15.75" customHeight="1">
      <c r="C650" s="6"/>
      <c r="D650" s="6"/>
    </row>
    <row r="651" ht="15.75" customHeight="1">
      <c r="C651" s="6"/>
      <c r="D651" s="6"/>
    </row>
    <row r="652" ht="15.75" customHeight="1">
      <c r="C652" s="6"/>
      <c r="D652" s="6"/>
    </row>
    <row r="653" ht="15.75" customHeight="1">
      <c r="C653" s="6"/>
      <c r="D653" s="6"/>
    </row>
    <row r="654" ht="15.75" customHeight="1">
      <c r="C654" s="6"/>
      <c r="D654" s="6"/>
    </row>
    <row r="655" ht="15.75" customHeight="1">
      <c r="C655" s="6"/>
      <c r="D655" s="6"/>
    </row>
    <row r="656" ht="15.75" customHeight="1">
      <c r="C656" s="6"/>
      <c r="D656" s="6"/>
    </row>
    <row r="657" ht="15.75" customHeight="1">
      <c r="C657" s="6"/>
      <c r="D657" s="6"/>
    </row>
    <row r="658" ht="15.75" customHeight="1">
      <c r="C658" s="6"/>
      <c r="D658" s="6"/>
    </row>
    <row r="659" ht="15.75" customHeight="1">
      <c r="C659" s="6"/>
      <c r="D659" s="6"/>
    </row>
    <row r="660" ht="15.75" customHeight="1">
      <c r="C660" s="6"/>
      <c r="D660" s="6"/>
    </row>
    <row r="661" ht="15.75" customHeight="1">
      <c r="C661" s="6"/>
      <c r="D661" s="6"/>
    </row>
    <row r="662" ht="15.75" customHeight="1">
      <c r="C662" s="6"/>
      <c r="D662" s="6"/>
    </row>
    <row r="663" ht="15.75" customHeight="1">
      <c r="C663" s="6"/>
      <c r="D663" s="6"/>
    </row>
    <row r="664" ht="15.75" customHeight="1">
      <c r="C664" s="6"/>
      <c r="D664" s="6"/>
    </row>
    <row r="665" ht="15.75" customHeight="1">
      <c r="C665" s="6"/>
      <c r="D665" s="6"/>
    </row>
    <row r="666" ht="15.75" customHeight="1">
      <c r="C666" s="6"/>
      <c r="D666" s="6"/>
    </row>
    <row r="667" ht="15.75" customHeight="1">
      <c r="C667" s="6"/>
      <c r="D667" s="6"/>
    </row>
    <row r="668" ht="15.75" customHeight="1">
      <c r="C668" s="6"/>
      <c r="D668" s="6"/>
    </row>
    <row r="669" ht="15.75" customHeight="1">
      <c r="C669" s="6"/>
      <c r="D669" s="6"/>
    </row>
    <row r="670" ht="15.75" customHeight="1">
      <c r="C670" s="6"/>
      <c r="D670" s="6"/>
    </row>
    <row r="671" ht="15.75" customHeight="1">
      <c r="C671" s="6"/>
      <c r="D671" s="6"/>
    </row>
    <row r="672" ht="15.75" customHeight="1">
      <c r="C672" s="6"/>
      <c r="D672" s="6"/>
    </row>
    <row r="673" ht="15.75" customHeight="1">
      <c r="C673" s="6"/>
      <c r="D673" s="6"/>
    </row>
    <row r="674" ht="15.75" customHeight="1">
      <c r="C674" s="6"/>
      <c r="D674" s="6"/>
    </row>
    <row r="675" ht="15.75" customHeight="1">
      <c r="C675" s="6"/>
      <c r="D675" s="6"/>
    </row>
    <row r="676" ht="15.75" customHeight="1">
      <c r="C676" s="6"/>
      <c r="D676" s="6"/>
    </row>
    <row r="677" ht="15.75" customHeight="1">
      <c r="C677" s="6"/>
      <c r="D677" s="6"/>
    </row>
    <row r="678" ht="15.75" customHeight="1">
      <c r="C678" s="6"/>
      <c r="D678" s="6"/>
    </row>
    <row r="679" ht="15.75" customHeight="1">
      <c r="C679" s="6"/>
      <c r="D679" s="6"/>
    </row>
    <row r="680" ht="15.75" customHeight="1">
      <c r="C680" s="6"/>
      <c r="D680" s="6"/>
    </row>
    <row r="681" ht="15.75" customHeight="1">
      <c r="C681" s="6"/>
      <c r="D681" s="6"/>
    </row>
    <row r="682" ht="15.75" customHeight="1">
      <c r="C682" s="6"/>
      <c r="D682" s="6"/>
    </row>
    <row r="683" ht="15.75" customHeight="1">
      <c r="C683" s="6"/>
      <c r="D683" s="6"/>
    </row>
    <row r="684" ht="15.75" customHeight="1">
      <c r="C684" s="6"/>
      <c r="D684" s="6"/>
    </row>
    <row r="685" ht="15.75" customHeight="1">
      <c r="C685" s="6"/>
      <c r="D685" s="6"/>
    </row>
    <row r="686" ht="15.75" customHeight="1">
      <c r="C686" s="6"/>
      <c r="D686" s="6"/>
    </row>
    <row r="687" ht="15.75" customHeight="1">
      <c r="C687" s="6"/>
      <c r="D687" s="6"/>
    </row>
    <row r="688" ht="15.75" customHeight="1">
      <c r="C688" s="6"/>
      <c r="D688" s="6"/>
    </row>
    <row r="689" ht="15.75" customHeight="1">
      <c r="C689" s="6"/>
      <c r="D689" s="6"/>
    </row>
    <row r="690" ht="15.75" customHeight="1">
      <c r="C690" s="6"/>
      <c r="D690" s="6"/>
    </row>
    <row r="691" ht="15.75" customHeight="1">
      <c r="C691" s="6"/>
      <c r="D691" s="6"/>
    </row>
    <row r="692" ht="15.75" customHeight="1">
      <c r="C692" s="6"/>
      <c r="D692" s="6"/>
    </row>
    <row r="693" ht="15.75" customHeight="1">
      <c r="C693" s="6"/>
      <c r="D693" s="6"/>
    </row>
    <row r="694" ht="15.75" customHeight="1">
      <c r="C694" s="6"/>
      <c r="D694" s="6"/>
    </row>
    <row r="695" ht="15.75" customHeight="1">
      <c r="C695" s="6"/>
      <c r="D695" s="6"/>
    </row>
    <row r="696" ht="15.75" customHeight="1">
      <c r="C696" s="6"/>
      <c r="D696" s="6"/>
    </row>
    <row r="697" ht="15.75" customHeight="1">
      <c r="C697" s="6"/>
      <c r="D697" s="6"/>
    </row>
    <row r="698" ht="15.75" customHeight="1">
      <c r="C698" s="6"/>
      <c r="D698" s="6"/>
    </row>
    <row r="699" ht="15.75" customHeight="1">
      <c r="C699" s="6"/>
      <c r="D699" s="6"/>
    </row>
    <row r="700" ht="15.75" customHeight="1">
      <c r="C700" s="6"/>
      <c r="D700" s="6"/>
    </row>
    <row r="701" ht="15.75" customHeight="1">
      <c r="C701" s="6"/>
      <c r="D701" s="6"/>
    </row>
    <row r="702" ht="15.75" customHeight="1">
      <c r="C702" s="6"/>
      <c r="D702" s="6"/>
    </row>
    <row r="703" ht="15.75" customHeight="1">
      <c r="C703" s="6"/>
      <c r="D703" s="6"/>
    </row>
    <row r="704" ht="15.75" customHeight="1">
      <c r="C704" s="6"/>
      <c r="D704" s="6"/>
    </row>
    <row r="705" ht="15.75" customHeight="1">
      <c r="C705" s="6"/>
      <c r="D705" s="6"/>
    </row>
    <row r="706" ht="15.75" customHeight="1">
      <c r="C706" s="6"/>
      <c r="D706" s="6"/>
    </row>
    <row r="707" ht="15.75" customHeight="1">
      <c r="C707" s="6"/>
      <c r="D707" s="6"/>
    </row>
    <row r="708" ht="15.75" customHeight="1">
      <c r="C708" s="6"/>
      <c r="D708" s="6"/>
    </row>
    <row r="709" ht="15.75" customHeight="1">
      <c r="C709" s="6"/>
      <c r="D709" s="6"/>
    </row>
    <row r="710" ht="15.75" customHeight="1">
      <c r="C710" s="6"/>
      <c r="D710" s="6"/>
    </row>
    <row r="711" ht="15.75" customHeight="1">
      <c r="C711" s="6"/>
      <c r="D711" s="6"/>
    </row>
    <row r="712" ht="15.75" customHeight="1">
      <c r="C712" s="6"/>
      <c r="D712" s="6"/>
    </row>
    <row r="713" ht="15.75" customHeight="1">
      <c r="C713" s="6"/>
      <c r="D713" s="6"/>
    </row>
    <row r="714" ht="15.75" customHeight="1">
      <c r="C714" s="6"/>
      <c r="D714" s="6"/>
    </row>
    <row r="715" ht="15.75" customHeight="1">
      <c r="C715" s="6"/>
      <c r="D715" s="6"/>
    </row>
    <row r="716" ht="15.75" customHeight="1">
      <c r="C716" s="6"/>
      <c r="D716" s="6"/>
    </row>
    <row r="717" ht="15.75" customHeight="1">
      <c r="C717" s="6"/>
      <c r="D717" s="6"/>
    </row>
    <row r="718" ht="15.75" customHeight="1">
      <c r="C718" s="6"/>
      <c r="D718" s="6"/>
    </row>
    <row r="719" ht="15.75" customHeight="1">
      <c r="C719" s="6"/>
      <c r="D719" s="6"/>
    </row>
    <row r="720" ht="15.75" customHeight="1">
      <c r="C720" s="6"/>
      <c r="D720" s="6"/>
    </row>
    <row r="721" ht="15.75" customHeight="1">
      <c r="C721" s="6"/>
      <c r="D721" s="6"/>
    </row>
    <row r="722" ht="15.75" customHeight="1">
      <c r="C722" s="6"/>
      <c r="D722" s="6"/>
    </row>
    <row r="723" ht="15.75" customHeight="1">
      <c r="C723" s="6"/>
      <c r="D723" s="6"/>
    </row>
    <row r="724" ht="15.75" customHeight="1">
      <c r="C724" s="6"/>
      <c r="D724" s="6"/>
    </row>
    <row r="725" ht="15.75" customHeight="1">
      <c r="C725" s="6"/>
      <c r="D725" s="6"/>
    </row>
    <row r="726" ht="15.75" customHeight="1">
      <c r="C726" s="6"/>
      <c r="D726" s="6"/>
    </row>
    <row r="727" ht="15.75" customHeight="1">
      <c r="C727" s="6"/>
      <c r="D727" s="6"/>
    </row>
    <row r="728" ht="15.75" customHeight="1">
      <c r="C728" s="6"/>
      <c r="D728" s="6"/>
    </row>
    <row r="729" ht="15.75" customHeight="1">
      <c r="C729" s="6"/>
      <c r="D729" s="6"/>
    </row>
    <row r="730" ht="15.75" customHeight="1">
      <c r="C730" s="6"/>
      <c r="D730" s="6"/>
    </row>
    <row r="731" ht="15.75" customHeight="1">
      <c r="C731" s="6"/>
      <c r="D731" s="6"/>
    </row>
    <row r="732" ht="15.75" customHeight="1">
      <c r="C732" s="6"/>
      <c r="D732" s="6"/>
    </row>
    <row r="733" ht="15.75" customHeight="1">
      <c r="C733" s="6"/>
      <c r="D733" s="6"/>
    </row>
    <row r="734" ht="15.75" customHeight="1">
      <c r="C734" s="6"/>
      <c r="D734" s="6"/>
    </row>
    <row r="735" ht="15.75" customHeight="1">
      <c r="C735" s="6"/>
      <c r="D735" s="6"/>
    </row>
    <row r="736" ht="15.75" customHeight="1">
      <c r="C736" s="6"/>
      <c r="D736" s="6"/>
    </row>
    <row r="737" ht="15.75" customHeight="1">
      <c r="C737" s="6"/>
      <c r="D737" s="6"/>
    </row>
    <row r="738" ht="15.75" customHeight="1">
      <c r="C738" s="6"/>
      <c r="D738" s="6"/>
    </row>
    <row r="739" ht="15.75" customHeight="1">
      <c r="C739" s="6"/>
      <c r="D739" s="6"/>
    </row>
    <row r="740" ht="15.75" customHeight="1">
      <c r="C740" s="6"/>
      <c r="D740" s="6"/>
    </row>
    <row r="741" ht="15.75" customHeight="1">
      <c r="C741" s="6"/>
      <c r="D741" s="6"/>
    </row>
    <row r="742" ht="15.75" customHeight="1">
      <c r="C742" s="6"/>
      <c r="D742" s="6"/>
    </row>
    <row r="743" ht="15.75" customHeight="1">
      <c r="C743" s="6"/>
      <c r="D743" s="6"/>
    </row>
    <row r="744" ht="15.75" customHeight="1">
      <c r="C744" s="6"/>
      <c r="D744" s="6"/>
    </row>
    <row r="745" ht="15.75" customHeight="1">
      <c r="C745" s="6"/>
      <c r="D745" s="6"/>
    </row>
    <row r="746" ht="15.75" customHeight="1">
      <c r="C746" s="6"/>
      <c r="D746" s="6"/>
    </row>
    <row r="747" ht="15.75" customHeight="1">
      <c r="C747" s="6"/>
      <c r="D747" s="6"/>
    </row>
    <row r="748" ht="15.75" customHeight="1">
      <c r="C748" s="6"/>
      <c r="D748" s="6"/>
    </row>
    <row r="749" ht="15.75" customHeight="1">
      <c r="C749" s="6"/>
      <c r="D749" s="6"/>
    </row>
    <row r="750" ht="15.75" customHeight="1">
      <c r="C750" s="6"/>
      <c r="D750" s="6"/>
    </row>
    <row r="751" ht="15.75" customHeight="1">
      <c r="C751" s="6"/>
      <c r="D751" s="6"/>
    </row>
    <row r="752" ht="15.75" customHeight="1">
      <c r="C752" s="6"/>
      <c r="D752" s="6"/>
    </row>
    <row r="753" ht="15.75" customHeight="1">
      <c r="C753" s="6"/>
      <c r="D753" s="6"/>
    </row>
    <row r="754" ht="15.75" customHeight="1">
      <c r="C754" s="6"/>
      <c r="D754" s="6"/>
    </row>
    <row r="755" ht="15.75" customHeight="1">
      <c r="C755" s="6"/>
      <c r="D755" s="6"/>
    </row>
    <row r="756" ht="15.75" customHeight="1">
      <c r="C756" s="6"/>
      <c r="D756" s="6"/>
    </row>
    <row r="757" ht="15.75" customHeight="1">
      <c r="C757" s="6"/>
      <c r="D757" s="6"/>
    </row>
    <row r="758" ht="15.75" customHeight="1">
      <c r="C758" s="6"/>
      <c r="D758" s="6"/>
    </row>
    <row r="759" ht="15.75" customHeight="1">
      <c r="C759" s="6"/>
      <c r="D759" s="6"/>
    </row>
    <row r="760" ht="15.75" customHeight="1">
      <c r="C760" s="6"/>
      <c r="D760" s="6"/>
    </row>
    <row r="761" ht="15.75" customHeight="1">
      <c r="C761" s="6"/>
      <c r="D761" s="6"/>
    </row>
    <row r="762" ht="15.75" customHeight="1">
      <c r="C762" s="6"/>
      <c r="D762" s="6"/>
    </row>
    <row r="763" ht="15.75" customHeight="1">
      <c r="C763" s="6"/>
      <c r="D763" s="6"/>
    </row>
    <row r="764" ht="15.75" customHeight="1">
      <c r="C764" s="6"/>
      <c r="D764" s="6"/>
    </row>
    <row r="765" ht="15.75" customHeight="1">
      <c r="C765" s="6"/>
      <c r="D765" s="6"/>
    </row>
    <row r="766" ht="15.75" customHeight="1">
      <c r="C766" s="6"/>
      <c r="D766" s="6"/>
    </row>
    <row r="767" ht="15.75" customHeight="1">
      <c r="C767" s="6"/>
      <c r="D767" s="6"/>
    </row>
    <row r="768" ht="15.75" customHeight="1">
      <c r="C768" s="6"/>
      <c r="D768" s="6"/>
    </row>
    <row r="769" ht="15.75" customHeight="1">
      <c r="C769" s="6"/>
      <c r="D769" s="6"/>
    </row>
    <row r="770" ht="15.75" customHeight="1">
      <c r="C770" s="6"/>
      <c r="D770" s="6"/>
    </row>
    <row r="771" ht="15.75" customHeight="1">
      <c r="C771" s="6"/>
      <c r="D771" s="6"/>
    </row>
    <row r="772" ht="15.75" customHeight="1">
      <c r="C772" s="6"/>
      <c r="D772" s="6"/>
    </row>
    <row r="773" ht="15.75" customHeight="1">
      <c r="C773" s="6"/>
      <c r="D773" s="6"/>
    </row>
    <row r="774" ht="15.75" customHeight="1">
      <c r="C774" s="6"/>
      <c r="D774" s="6"/>
    </row>
    <row r="775" ht="15.75" customHeight="1">
      <c r="C775" s="6"/>
      <c r="D775" s="6"/>
    </row>
    <row r="776" ht="15.75" customHeight="1">
      <c r="C776" s="6"/>
      <c r="D776" s="6"/>
    </row>
    <row r="777" ht="15.75" customHeight="1">
      <c r="C777" s="6"/>
      <c r="D777" s="6"/>
    </row>
    <row r="778" ht="15.75" customHeight="1">
      <c r="C778" s="6"/>
      <c r="D778" s="6"/>
    </row>
    <row r="779" ht="15.75" customHeight="1">
      <c r="C779" s="6"/>
      <c r="D779" s="6"/>
    </row>
    <row r="780" ht="15.75" customHeight="1">
      <c r="C780" s="6"/>
      <c r="D780" s="6"/>
    </row>
    <row r="781" ht="15.75" customHeight="1">
      <c r="C781" s="6"/>
      <c r="D781" s="6"/>
    </row>
    <row r="782" ht="15.75" customHeight="1">
      <c r="C782" s="6"/>
      <c r="D782" s="6"/>
    </row>
    <row r="783" ht="15.75" customHeight="1">
      <c r="C783" s="6"/>
      <c r="D783" s="6"/>
    </row>
    <row r="784" ht="15.75" customHeight="1">
      <c r="C784" s="6"/>
      <c r="D784" s="6"/>
    </row>
    <row r="785" ht="15.75" customHeight="1">
      <c r="C785" s="6"/>
      <c r="D785" s="6"/>
    </row>
    <row r="786" ht="15.75" customHeight="1">
      <c r="C786" s="6"/>
      <c r="D786" s="6"/>
    </row>
    <row r="787" ht="15.75" customHeight="1">
      <c r="C787" s="6"/>
      <c r="D787" s="6"/>
    </row>
    <row r="788" ht="15.75" customHeight="1">
      <c r="C788" s="6"/>
      <c r="D788" s="6"/>
    </row>
    <row r="789" ht="15.75" customHeight="1">
      <c r="C789" s="6"/>
      <c r="D789" s="6"/>
    </row>
    <row r="790" ht="15.75" customHeight="1">
      <c r="C790" s="6"/>
      <c r="D790" s="6"/>
    </row>
    <row r="791" ht="15.75" customHeight="1">
      <c r="C791" s="6"/>
      <c r="D791" s="6"/>
    </row>
    <row r="792" ht="15.75" customHeight="1">
      <c r="C792" s="6"/>
      <c r="D792" s="6"/>
    </row>
    <row r="793" ht="15.75" customHeight="1">
      <c r="C793" s="6"/>
      <c r="D793" s="6"/>
    </row>
    <row r="794" ht="15.75" customHeight="1">
      <c r="C794" s="6"/>
      <c r="D794" s="6"/>
    </row>
    <row r="795" ht="15.75" customHeight="1">
      <c r="C795" s="6"/>
      <c r="D795" s="6"/>
    </row>
    <row r="796" ht="15.75" customHeight="1">
      <c r="C796" s="6"/>
      <c r="D796" s="6"/>
    </row>
    <row r="797" ht="15.75" customHeight="1">
      <c r="C797" s="6"/>
      <c r="D797" s="6"/>
    </row>
    <row r="798" ht="15.75" customHeight="1">
      <c r="C798" s="6"/>
      <c r="D798" s="6"/>
    </row>
    <row r="799" ht="15.75" customHeight="1">
      <c r="C799" s="6"/>
      <c r="D799" s="6"/>
    </row>
    <row r="800" ht="15.75" customHeight="1">
      <c r="C800" s="6"/>
      <c r="D800" s="6"/>
    </row>
    <row r="801" ht="15.75" customHeight="1">
      <c r="C801" s="6"/>
      <c r="D801" s="6"/>
    </row>
    <row r="802" ht="15.75" customHeight="1">
      <c r="C802" s="6"/>
      <c r="D802" s="6"/>
    </row>
    <row r="803" ht="15.75" customHeight="1">
      <c r="C803" s="6"/>
      <c r="D803" s="6"/>
    </row>
    <row r="804" ht="15.75" customHeight="1">
      <c r="C804" s="6"/>
      <c r="D804" s="6"/>
    </row>
    <row r="805" ht="15.75" customHeight="1">
      <c r="C805" s="6"/>
      <c r="D805" s="6"/>
    </row>
    <row r="806" ht="15.75" customHeight="1">
      <c r="C806" s="6"/>
      <c r="D806" s="6"/>
    </row>
    <row r="807" ht="15.75" customHeight="1">
      <c r="C807" s="6"/>
      <c r="D807" s="6"/>
    </row>
    <row r="808" ht="15.75" customHeight="1">
      <c r="C808" s="6"/>
      <c r="D808" s="6"/>
    </row>
    <row r="809" ht="15.75" customHeight="1">
      <c r="C809" s="6"/>
      <c r="D809" s="6"/>
    </row>
    <row r="810" ht="15.75" customHeight="1">
      <c r="C810" s="6"/>
      <c r="D810" s="6"/>
    </row>
    <row r="811" ht="15.75" customHeight="1">
      <c r="C811" s="6"/>
      <c r="D811" s="6"/>
    </row>
    <row r="812" ht="15.75" customHeight="1">
      <c r="C812" s="6"/>
      <c r="D812" s="6"/>
    </row>
    <row r="813" ht="15.75" customHeight="1">
      <c r="C813" s="6"/>
      <c r="D813" s="6"/>
    </row>
    <row r="814" ht="15.75" customHeight="1">
      <c r="C814" s="6"/>
      <c r="D814" s="6"/>
    </row>
    <row r="815" ht="15.75" customHeight="1">
      <c r="C815" s="6"/>
      <c r="D815" s="6"/>
    </row>
    <row r="816" ht="15.75" customHeight="1">
      <c r="C816" s="6"/>
      <c r="D816" s="6"/>
    </row>
    <row r="817" ht="15.75" customHeight="1">
      <c r="C817" s="6"/>
      <c r="D817" s="6"/>
    </row>
    <row r="818" ht="15.75" customHeight="1">
      <c r="C818" s="6"/>
      <c r="D818" s="6"/>
    </row>
    <row r="819" ht="15.75" customHeight="1">
      <c r="C819" s="6"/>
      <c r="D819" s="6"/>
    </row>
    <row r="820" ht="15.75" customHeight="1">
      <c r="C820" s="6"/>
      <c r="D820" s="6"/>
    </row>
    <row r="821" ht="15.75" customHeight="1">
      <c r="C821" s="6"/>
      <c r="D821" s="6"/>
    </row>
    <row r="822" ht="15.75" customHeight="1">
      <c r="C822" s="6"/>
      <c r="D822" s="6"/>
    </row>
    <row r="823" ht="15.75" customHeight="1">
      <c r="C823" s="6"/>
      <c r="D823" s="6"/>
    </row>
    <row r="824" ht="15.75" customHeight="1">
      <c r="C824" s="6"/>
      <c r="D824" s="6"/>
    </row>
    <row r="825" ht="15.75" customHeight="1">
      <c r="C825" s="6"/>
      <c r="D825" s="6"/>
    </row>
    <row r="826" ht="15.75" customHeight="1">
      <c r="C826" s="6"/>
      <c r="D826" s="6"/>
    </row>
    <row r="827" ht="15.75" customHeight="1">
      <c r="C827" s="6"/>
      <c r="D827" s="6"/>
    </row>
    <row r="828" ht="15.75" customHeight="1">
      <c r="C828" s="6"/>
      <c r="D828" s="6"/>
    </row>
    <row r="829" ht="15.75" customHeight="1">
      <c r="C829" s="6"/>
      <c r="D829" s="6"/>
    </row>
    <row r="830" ht="15.75" customHeight="1">
      <c r="C830" s="6"/>
      <c r="D830" s="6"/>
    </row>
    <row r="831" ht="15.75" customHeight="1">
      <c r="C831" s="6"/>
      <c r="D831" s="6"/>
    </row>
    <row r="832" ht="15.75" customHeight="1">
      <c r="C832" s="6"/>
      <c r="D832" s="6"/>
    </row>
    <row r="833" ht="15.75" customHeight="1">
      <c r="C833" s="6"/>
      <c r="D833" s="6"/>
    </row>
    <row r="834" ht="15.75" customHeight="1">
      <c r="C834" s="6"/>
      <c r="D834" s="6"/>
    </row>
    <row r="835" ht="15.75" customHeight="1">
      <c r="C835" s="6"/>
      <c r="D835" s="6"/>
    </row>
    <row r="836" ht="15.75" customHeight="1">
      <c r="C836" s="6"/>
      <c r="D836" s="6"/>
    </row>
    <row r="837" ht="15.75" customHeight="1">
      <c r="C837" s="6"/>
      <c r="D837" s="6"/>
    </row>
    <row r="838" ht="15.75" customHeight="1">
      <c r="C838" s="6"/>
      <c r="D838" s="6"/>
    </row>
    <row r="839" ht="15.75" customHeight="1">
      <c r="C839" s="6"/>
      <c r="D839" s="6"/>
    </row>
    <row r="840" ht="15.75" customHeight="1">
      <c r="C840" s="6"/>
      <c r="D840" s="6"/>
    </row>
    <row r="841" ht="15.75" customHeight="1">
      <c r="C841" s="6"/>
      <c r="D841" s="6"/>
    </row>
    <row r="842" ht="15.75" customHeight="1">
      <c r="C842" s="6"/>
      <c r="D842" s="6"/>
    </row>
    <row r="843" ht="15.75" customHeight="1">
      <c r="C843" s="6"/>
      <c r="D843" s="6"/>
    </row>
    <row r="844" ht="15.75" customHeight="1">
      <c r="C844" s="6"/>
      <c r="D844" s="6"/>
    </row>
    <row r="845" ht="15.75" customHeight="1">
      <c r="C845" s="6"/>
      <c r="D845" s="6"/>
    </row>
    <row r="846" ht="15.75" customHeight="1">
      <c r="C846" s="6"/>
      <c r="D846" s="6"/>
    </row>
    <row r="847" ht="15.75" customHeight="1">
      <c r="C847" s="6"/>
      <c r="D847" s="6"/>
    </row>
    <row r="848" ht="15.75" customHeight="1">
      <c r="C848" s="6"/>
      <c r="D848" s="6"/>
    </row>
    <row r="849" ht="15.75" customHeight="1">
      <c r="C849" s="6"/>
      <c r="D849" s="6"/>
    </row>
    <row r="850" ht="15.75" customHeight="1">
      <c r="C850" s="6"/>
      <c r="D850" s="6"/>
    </row>
    <row r="851" ht="15.75" customHeight="1">
      <c r="C851" s="6"/>
      <c r="D851" s="6"/>
    </row>
    <row r="852" ht="15.75" customHeight="1">
      <c r="C852" s="6"/>
      <c r="D852" s="6"/>
    </row>
    <row r="853" ht="15.75" customHeight="1">
      <c r="C853" s="6"/>
      <c r="D853" s="6"/>
    </row>
    <row r="854" ht="15.75" customHeight="1">
      <c r="C854" s="6"/>
      <c r="D854" s="6"/>
    </row>
    <row r="855" ht="15.75" customHeight="1">
      <c r="C855" s="6"/>
      <c r="D855" s="6"/>
    </row>
    <row r="856" ht="15.75" customHeight="1">
      <c r="C856" s="6"/>
      <c r="D856" s="6"/>
    </row>
    <row r="857" ht="15.75" customHeight="1">
      <c r="C857" s="6"/>
      <c r="D857" s="6"/>
    </row>
    <row r="858" ht="15.75" customHeight="1">
      <c r="C858" s="6"/>
      <c r="D858" s="6"/>
    </row>
    <row r="859" ht="15.75" customHeight="1">
      <c r="C859" s="6"/>
      <c r="D859" s="6"/>
    </row>
    <row r="860" ht="15.75" customHeight="1">
      <c r="C860" s="6"/>
      <c r="D860" s="6"/>
    </row>
    <row r="861" ht="15.75" customHeight="1">
      <c r="C861" s="6"/>
      <c r="D861" s="6"/>
    </row>
    <row r="862" ht="15.75" customHeight="1">
      <c r="C862" s="6"/>
      <c r="D862" s="6"/>
    </row>
    <row r="863" ht="15.75" customHeight="1">
      <c r="C863" s="6"/>
      <c r="D863" s="6"/>
    </row>
    <row r="864" ht="15.75" customHeight="1">
      <c r="C864" s="6"/>
      <c r="D864" s="6"/>
    </row>
    <row r="865" ht="15.75" customHeight="1">
      <c r="C865" s="6"/>
      <c r="D865" s="6"/>
    </row>
    <row r="866" ht="15.75" customHeight="1">
      <c r="C866" s="6"/>
      <c r="D866" s="6"/>
    </row>
    <row r="867" ht="15.75" customHeight="1">
      <c r="C867" s="6"/>
      <c r="D867" s="6"/>
    </row>
    <row r="868" ht="15.75" customHeight="1">
      <c r="C868" s="6"/>
      <c r="D868" s="6"/>
    </row>
    <row r="869" ht="15.75" customHeight="1">
      <c r="C869" s="6"/>
      <c r="D869" s="6"/>
    </row>
    <row r="870" ht="15.75" customHeight="1">
      <c r="C870" s="6"/>
      <c r="D870" s="6"/>
    </row>
    <row r="871" ht="15.75" customHeight="1">
      <c r="C871" s="6"/>
      <c r="D871" s="6"/>
    </row>
    <row r="872" ht="15.75" customHeight="1">
      <c r="C872" s="6"/>
      <c r="D872" s="6"/>
    </row>
    <row r="873" ht="15.75" customHeight="1">
      <c r="C873" s="6"/>
      <c r="D873" s="6"/>
    </row>
    <row r="874" ht="15.75" customHeight="1">
      <c r="C874" s="6"/>
      <c r="D874" s="6"/>
    </row>
    <row r="875" ht="15.75" customHeight="1">
      <c r="C875" s="6"/>
      <c r="D875" s="6"/>
    </row>
    <row r="876" ht="15.75" customHeight="1">
      <c r="C876" s="6"/>
      <c r="D876" s="6"/>
    </row>
    <row r="877" ht="15.75" customHeight="1">
      <c r="C877" s="6"/>
      <c r="D877" s="6"/>
    </row>
    <row r="878" ht="15.75" customHeight="1">
      <c r="C878" s="6"/>
      <c r="D878" s="6"/>
    </row>
    <row r="879" ht="15.75" customHeight="1">
      <c r="C879" s="6"/>
      <c r="D879" s="6"/>
    </row>
    <row r="880" ht="15.75" customHeight="1">
      <c r="C880" s="6"/>
      <c r="D880" s="6"/>
    </row>
    <row r="881" ht="15.75" customHeight="1">
      <c r="C881" s="6"/>
      <c r="D881" s="6"/>
    </row>
    <row r="882" ht="15.75" customHeight="1">
      <c r="C882" s="6"/>
      <c r="D882" s="6"/>
    </row>
    <row r="883" ht="15.75" customHeight="1">
      <c r="C883" s="6"/>
      <c r="D883" s="6"/>
    </row>
    <row r="884" ht="15.75" customHeight="1">
      <c r="C884" s="6"/>
      <c r="D884" s="6"/>
    </row>
    <row r="885" ht="15.75" customHeight="1">
      <c r="C885" s="6"/>
      <c r="D885" s="6"/>
    </row>
    <row r="886" ht="15.75" customHeight="1">
      <c r="C886" s="6"/>
      <c r="D886" s="6"/>
    </row>
    <row r="887" ht="15.75" customHeight="1">
      <c r="C887" s="6"/>
      <c r="D887" s="6"/>
    </row>
    <row r="888" ht="15.75" customHeight="1">
      <c r="C888" s="6"/>
      <c r="D888" s="6"/>
    </row>
    <row r="889" ht="15.75" customHeight="1">
      <c r="C889" s="6"/>
      <c r="D889" s="6"/>
    </row>
    <row r="890" ht="15.75" customHeight="1">
      <c r="C890" s="6"/>
      <c r="D890" s="6"/>
    </row>
    <row r="891" ht="15.75" customHeight="1">
      <c r="C891" s="6"/>
      <c r="D891" s="6"/>
    </row>
    <row r="892" ht="15.75" customHeight="1">
      <c r="C892" s="6"/>
      <c r="D892" s="6"/>
    </row>
    <row r="893" ht="15.75" customHeight="1">
      <c r="C893" s="6"/>
      <c r="D893" s="6"/>
    </row>
    <row r="894" ht="15.75" customHeight="1">
      <c r="C894" s="6"/>
      <c r="D894" s="6"/>
    </row>
    <row r="895" ht="15.75" customHeight="1">
      <c r="C895" s="6"/>
      <c r="D895" s="6"/>
    </row>
    <row r="896" ht="15.75" customHeight="1">
      <c r="C896" s="6"/>
      <c r="D896" s="6"/>
    </row>
    <row r="897" ht="15.75" customHeight="1">
      <c r="C897" s="6"/>
      <c r="D897" s="6"/>
    </row>
    <row r="898" ht="15.75" customHeight="1">
      <c r="C898" s="6"/>
      <c r="D898" s="6"/>
    </row>
    <row r="899" ht="15.75" customHeight="1">
      <c r="C899" s="6"/>
      <c r="D899" s="6"/>
    </row>
    <row r="900" ht="15.75" customHeight="1">
      <c r="C900" s="6"/>
      <c r="D900" s="6"/>
    </row>
    <row r="901" ht="15.75" customHeight="1">
      <c r="C901" s="6"/>
      <c r="D901" s="6"/>
    </row>
    <row r="902" ht="15.75" customHeight="1">
      <c r="C902" s="6"/>
      <c r="D902" s="6"/>
    </row>
    <row r="903" ht="15.75" customHeight="1">
      <c r="C903" s="6"/>
      <c r="D903" s="6"/>
    </row>
    <row r="904" ht="15.75" customHeight="1">
      <c r="C904" s="6"/>
      <c r="D904" s="6"/>
    </row>
    <row r="905" ht="15.75" customHeight="1">
      <c r="C905" s="6"/>
      <c r="D905" s="6"/>
    </row>
    <row r="906" ht="15.75" customHeight="1">
      <c r="C906" s="6"/>
      <c r="D906" s="6"/>
    </row>
    <row r="907" ht="15.75" customHeight="1">
      <c r="C907" s="6"/>
      <c r="D907" s="6"/>
    </row>
    <row r="908" ht="15.75" customHeight="1">
      <c r="C908" s="6"/>
      <c r="D908" s="6"/>
    </row>
    <row r="909" ht="15.75" customHeight="1">
      <c r="C909" s="6"/>
      <c r="D909" s="6"/>
    </row>
    <row r="910" ht="15.75" customHeight="1">
      <c r="C910" s="6"/>
      <c r="D910" s="6"/>
    </row>
    <row r="911" ht="15.75" customHeight="1">
      <c r="C911" s="6"/>
      <c r="D911" s="6"/>
    </row>
    <row r="912" ht="15.75" customHeight="1">
      <c r="C912" s="6"/>
      <c r="D912" s="6"/>
    </row>
    <row r="913" ht="15.75" customHeight="1">
      <c r="C913" s="6"/>
      <c r="D913" s="6"/>
    </row>
    <row r="914" ht="15.75" customHeight="1">
      <c r="C914" s="6"/>
      <c r="D914" s="6"/>
    </row>
    <row r="915" ht="15.75" customHeight="1">
      <c r="C915" s="6"/>
      <c r="D915" s="6"/>
    </row>
    <row r="916" ht="15.75" customHeight="1">
      <c r="C916" s="6"/>
      <c r="D916" s="6"/>
    </row>
    <row r="917" ht="15.75" customHeight="1">
      <c r="C917" s="6"/>
      <c r="D917" s="6"/>
    </row>
    <row r="918" ht="15.75" customHeight="1">
      <c r="C918" s="6"/>
      <c r="D918" s="6"/>
    </row>
    <row r="919" ht="15.75" customHeight="1">
      <c r="C919" s="6"/>
      <c r="D919" s="6"/>
    </row>
    <row r="920" ht="15.75" customHeight="1">
      <c r="C920" s="6"/>
      <c r="D920" s="6"/>
    </row>
    <row r="921" ht="15.75" customHeight="1">
      <c r="C921" s="6"/>
      <c r="D921" s="6"/>
    </row>
    <row r="922" ht="15.75" customHeight="1">
      <c r="C922" s="6"/>
      <c r="D922" s="6"/>
    </row>
    <row r="923" ht="15.75" customHeight="1">
      <c r="C923" s="6"/>
      <c r="D923" s="6"/>
    </row>
    <row r="924" ht="15.75" customHeight="1">
      <c r="C924" s="6"/>
      <c r="D924" s="6"/>
    </row>
    <row r="925" ht="15.75" customHeight="1">
      <c r="C925" s="6"/>
      <c r="D925" s="6"/>
    </row>
    <row r="926" ht="15.75" customHeight="1">
      <c r="C926" s="6"/>
      <c r="D926" s="6"/>
    </row>
    <row r="927" ht="15.75" customHeight="1">
      <c r="C927" s="6"/>
      <c r="D927" s="6"/>
    </row>
    <row r="928" ht="15.75" customHeight="1">
      <c r="C928" s="6"/>
      <c r="D928" s="6"/>
    </row>
    <row r="929" ht="15.75" customHeight="1">
      <c r="C929" s="6"/>
      <c r="D929" s="6"/>
    </row>
    <row r="930" ht="15.75" customHeight="1">
      <c r="C930" s="6"/>
      <c r="D930" s="6"/>
    </row>
    <row r="931" ht="15.75" customHeight="1">
      <c r="C931" s="6"/>
      <c r="D931" s="6"/>
    </row>
    <row r="932" ht="15.75" customHeight="1">
      <c r="C932" s="6"/>
      <c r="D932" s="6"/>
    </row>
    <row r="933" ht="15.75" customHeight="1">
      <c r="C933" s="6"/>
      <c r="D933" s="6"/>
    </row>
    <row r="934" ht="15.75" customHeight="1">
      <c r="C934" s="6"/>
      <c r="D934" s="6"/>
    </row>
    <row r="935" ht="15.75" customHeight="1">
      <c r="C935" s="6"/>
      <c r="D935" s="6"/>
    </row>
    <row r="936" ht="15.75" customHeight="1">
      <c r="C936" s="6"/>
      <c r="D936" s="6"/>
    </row>
    <row r="937" ht="15.75" customHeight="1">
      <c r="C937" s="6"/>
      <c r="D937" s="6"/>
    </row>
    <row r="938" ht="15.75" customHeight="1">
      <c r="C938" s="6"/>
      <c r="D938" s="6"/>
    </row>
    <row r="939" ht="15.75" customHeight="1">
      <c r="C939" s="6"/>
      <c r="D939" s="6"/>
    </row>
    <row r="940" ht="15.75" customHeight="1">
      <c r="C940" s="6"/>
      <c r="D940" s="6"/>
    </row>
    <row r="941" ht="15.75" customHeight="1">
      <c r="C941" s="6"/>
      <c r="D941" s="6"/>
    </row>
    <row r="942" ht="15.75" customHeight="1">
      <c r="C942" s="6"/>
      <c r="D942" s="6"/>
    </row>
    <row r="943" ht="15.75" customHeight="1">
      <c r="C943" s="6"/>
      <c r="D943" s="6"/>
    </row>
    <row r="944" ht="15.75" customHeight="1">
      <c r="C944" s="6"/>
      <c r="D944" s="6"/>
    </row>
    <row r="945" ht="15.75" customHeight="1">
      <c r="C945" s="6"/>
      <c r="D945" s="6"/>
    </row>
    <row r="946" ht="15.75" customHeight="1">
      <c r="C946" s="6"/>
      <c r="D946" s="6"/>
    </row>
    <row r="947" ht="15.75" customHeight="1">
      <c r="C947" s="6"/>
      <c r="D947" s="6"/>
    </row>
    <row r="948" ht="15.75" customHeight="1">
      <c r="C948" s="6"/>
      <c r="D948" s="6"/>
    </row>
    <row r="949" ht="15.75" customHeight="1">
      <c r="C949" s="6"/>
      <c r="D949" s="6"/>
    </row>
    <row r="950" ht="15.75" customHeight="1">
      <c r="C950" s="6"/>
      <c r="D950" s="6"/>
    </row>
    <row r="951" ht="15.75" customHeight="1">
      <c r="C951" s="6"/>
      <c r="D951" s="6"/>
    </row>
    <row r="952" ht="15.75" customHeight="1">
      <c r="C952" s="6"/>
      <c r="D952" s="6"/>
    </row>
    <row r="953" ht="15.75" customHeight="1">
      <c r="C953" s="6"/>
      <c r="D953" s="6"/>
    </row>
    <row r="954" ht="15.75" customHeight="1">
      <c r="C954" s="6"/>
      <c r="D954" s="6"/>
    </row>
    <row r="955" ht="15.75" customHeight="1">
      <c r="C955" s="6"/>
      <c r="D955" s="6"/>
    </row>
    <row r="956" ht="15.75" customHeight="1">
      <c r="C956" s="6"/>
      <c r="D956" s="6"/>
    </row>
    <row r="957" ht="15.75" customHeight="1">
      <c r="C957" s="6"/>
      <c r="D957" s="6"/>
    </row>
    <row r="958" ht="15.75" customHeight="1">
      <c r="C958" s="6"/>
      <c r="D958" s="6"/>
    </row>
    <row r="959" ht="15.75" customHeight="1">
      <c r="C959" s="6"/>
      <c r="D959" s="6"/>
    </row>
    <row r="960" ht="15.75" customHeight="1">
      <c r="C960" s="6"/>
      <c r="D960" s="6"/>
    </row>
    <row r="961" ht="15.75" customHeight="1">
      <c r="C961" s="6"/>
      <c r="D961" s="6"/>
    </row>
    <row r="962" ht="15.75" customHeight="1">
      <c r="C962" s="6"/>
      <c r="D962" s="6"/>
    </row>
    <row r="963" ht="15.75" customHeight="1">
      <c r="C963" s="6"/>
      <c r="D963" s="6"/>
    </row>
    <row r="964" ht="15.75" customHeight="1">
      <c r="C964" s="6"/>
      <c r="D964" s="6"/>
    </row>
    <row r="965" ht="15.75" customHeight="1">
      <c r="C965" s="6"/>
      <c r="D965" s="6"/>
    </row>
    <row r="966" ht="15.75" customHeight="1">
      <c r="C966" s="6"/>
      <c r="D966" s="6"/>
    </row>
    <row r="967" ht="15.75" customHeight="1">
      <c r="C967" s="6"/>
      <c r="D967" s="6"/>
    </row>
    <row r="968" ht="15.75" customHeight="1">
      <c r="C968" s="6"/>
      <c r="D968" s="6"/>
    </row>
    <row r="969" ht="15.75" customHeight="1">
      <c r="C969" s="6"/>
      <c r="D969" s="6"/>
    </row>
    <row r="970" ht="15.75" customHeight="1">
      <c r="C970" s="6"/>
      <c r="D970" s="6"/>
    </row>
    <row r="971" ht="15.75" customHeight="1">
      <c r="C971" s="6"/>
      <c r="D971" s="6"/>
    </row>
    <row r="972" ht="15.75" customHeight="1">
      <c r="C972" s="6"/>
      <c r="D972" s="6"/>
    </row>
    <row r="973" ht="15.75" customHeight="1">
      <c r="C973" s="6"/>
      <c r="D973" s="6"/>
    </row>
    <row r="974" ht="15.75" customHeight="1">
      <c r="C974" s="6"/>
      <c r="D974" s="6"/>
    </row>
    <row r="975" ht="15.75" customHeight="1">
      <c r="C975" s="6"/>
      <c r="D975" s="6"/>
    </row>
    <row r="976" ht="15.75" customHeight="1">
      <c r="C976" s="6"/>
      <c r="D976" s="6"/>
    </row>
    <row r="977" ht="15.75" customHeight="1">
      <c r="C977" s="6"/>
      <c r="D977" s="6"/>
    </row>
    <row r="978" ht="15.75" customHeight="1">
      <c r="C978" s="6"/>
      <c r="D978" s="6"/>
    </row>
    <row r="979" ht="15.75" customHeight="1">
      <c r="C979" s="6"/>
      <c r="D979" s="6"/>
    </row>
    <row r="980" ht="15.75" customHeight="1">
      <c r="C980" s="6"/>
      <c r="D980" s="6"/>
    </row>
    <row r="981" ht="15.75" customHeight="1">
      <c r="C981" s="6"/>
      <c r="D981" s="6"/>
    </row>
    <row r="982" ht="15.75" customHeight="1">
      <c r="C982" s="6"/>
      <c r="D982" s="6"/>
    </row>
    <row r="983" ht="15.75" customHeight="1">
      <c r="C983" s="6"/>
      <c r="D983" s="6"/>
    </row>
    <row r="984" ht="15.75" customHeight="1">
      <c r="C984" s="6"/>
      <c r="D984" s="6"/>
    </row>
    <row r="985" ht="15.75" customHeight="1">
      <c r="C985" s="6"/>
      <c r="D985" s="6"/>
    </row>
    <row r="986" ht="15.75" customHeight="1">
      <c r="C986" s="6"/>
      <c r="D986" s="6"/>
    </row>
    <row r="987" ht="15.75" customHeight="1">
      <c r="C987" s="6"/>
      <c r="D987" s="6"/>
    </row>
    <row r="988" ht="15.75" customHeight="1">
      <c r="C988" s="6"/>
      <c r="D988" s="6"/>
    </row>
  </sheetData>
  <dataValidations>
    <dataValidation type="list" allowBlank="1" showErrorMessage="1" sqref="C2:C111">
      <formula1>"Direct,Centrale"</formula1>
    </dataValidation>
    <dataValidation type="list" allowBlank="1" showErrorMessage="1" sqref="D2:D115">
      <formula1>"CAP FRAIS,BROCARD,GMA GROUP,SCHLESSER"</formula1>
    </dataValidation>
    <dataValidation type="list" allowBlank="1" sqref="B28">
      <formula1>ENSEIGNES!$B$2:$B988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45.0"/>
    <col customWidth="1" min="4" max="4" width="10.0"/>
    <col customWidth="1" min="5" max="7" width="14.0"/>
    <col customWidth="1" min="8" max="8" width="10.0"/>
    <col customWidth="1" min="9" max="9" width="20.29"/>
    <col customWidth="1" min="10" max="10" width="9.43"/>
    <col customWidth="1" min="11" max="11" width="11.0"/>
    <col customWidth="1" min="12" max="12" width="22.0"/>
    <col customWidth="1" min="13" max="25" width="8.71"/>
  </cols>
  <sheetData>
    <row r="1" ht="23.25" customHeight="1">
      <c r="A1" s="3" t="s">
        <v>3</v>
      </c>
      <c r="D1" s="6"/>
      <c r="E1" s="6"/>
      <c r="H1" s="9"/>
      <c r="L1" s="6"/>
    </row>
    <row r="2" ht="36.75" customHeight="1">
      <c r="A2" s="11" t="s">
        <v>9</v>
      </c>
      <c r="B2" s="11" t="s">
        <v>10</v>
      </c>
      <c r="C2" s="11" t="s">
        <v>11</v>
      </c>
      <c r="D2" s="11" t="s">
        <v>5</v>
      </c>
      <c r="E2" s="11" t="s">
        <v>6</v>
      </c>
      <c r="F2" s="11" t="s">
        <v>12</v>
      </c>
      <c r="G2" s="11" t="s">
        <v>14</v>
      </c>
      <c r="H2" s="11" t="s">
        <v>15</v>
      </c>
      <c r="I2" s="11" t="s">
        <v>16</v>
      </c>
      <c r="J2" s="11" t="s">
        <v>18</v>
      </c>
      <c r="K2" s="11" t="s">
        <v>20</v>
      </c>
      <c r="L2" s="16" t="s">
        <v>22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>
      <c r="A3" s="21">
        <v>45964.0</v>
      </c>
      <c r="B3" s="23" t="s">
        <v>30</v>
      </c>
      <c r="C3" s="23" t="s">
        <v>51</v>
      </c>
      <c r="D3" s="30" t="str">
        <f>IF(C3&lt;&gt;"",VLOOKUP(C3,ENSEIGNES!$B$2:$D$47,2,FALSE),"")</f>
        <v>Direct</v>
      </c>
      <c r="E3" s="30" t="str">
        <f>IF(C3&lt;&gt;"",VLOOKUP(C3,ENSEIGNES!$B$2:$D$47,3,FALSE),"")</f>
        <v>CAP FRAIS</v>
      </c>
      <c r="F3" s="31">
        <v>426.88</v>
      </c>
      <c r="G3" s="32">
        <f t="shared" ref="G3:G46" si="1">F3*(1+5.5%)</f>
        <v>450.3584</v>
      </c>
      <c r="H3" s="34">
        <f>IF(D3="Direct",PARAMETRES!$C$20,IF(D3="Centrale",PARAMETRES!$C$21,0))</f>
        <v>0.07</v>
      </c>
      <c r="I3" s="38">
        <f t="shared" ref="I3:I649" si="2">IF(F3&lt;&gt;"",F3*H3,0)</f>
        <v>29.8816</v>
      </c>
      <c r="J3" s="40">
        <f t="shared" ref="J3:J577" si="3">IF(A3&lt;&gt;"",MONTH(A3),"")</f>
        <v>11</v>
      </c>
      <c r="K3" s="40">
        <f t="shared" ref="K3:K552" si="4">IF(A3&lt;&gt;"",YEAR(A3),"")</f>
        <v>2025</v>
      </c>
      <c r="L3" s="30">
        <f t="shared" ref="L3:L513" si="5">IF(COUNTIFS($C$3:C3,C3,$J$3:J3,J3,$K$3:K3,K3)=1,1,0)</f>
        <v>1</v>
      </c>
    </row>
    <row r="4">
      <c r="A4" s="21">
        <v>45964.0</v>
      </c>
      <c r="B4" s="23" t="s">
        <v>89</v>
      </c>
      <c r="C4" s="23" t="s">
        <v>59</v>
      </c>
      <c r="D4" s="30" t="str">
        <f>IF(C4&lt;&gt;"",VLOOKUP(C4,ENSEIGNES!$B$2:$D971,2,FALSE),"")</f>
        <v>Direct</v>
      </c>
      <c r="E4" s="30" t="str">
        <f>IF(C4&lt;&gt;"",VLOOKUP(C4,ENSEIGNES!$B$2:$D971,3,FALSE),"")</f>
        <v>CAP FRAIS</v>
      </c>
      <c r="F4" s="31">
        <v>454.72</v>
      </c>
      <c r="G4" s="32">
        <f t="shared" si="1"/>
        <v>479.7296</v>
      </c>
      <c r="H4" s="34">
        <f>IF(D4="Direct",PARAMETRES!$C$20,IF(D4="Centrale",PARAMETRES!$C$21,0))</f>
        <v>0.07</v>
      </c>
      <c r="I4" s="38">
        <f t="shared" si="2"/>
        <v>31.8304</v>
      </c>
      <c r="J4" s="40">
        <f t="shared" si="3"/>
        <v>11</v>
      </c>
      <c r="K4" s="40">
        <f t="shared" si="4"/>
        <v>2025</v>
      </c>
      <c r="L4" s="30">
        <f t="shared" si="5"/>
        <v>1</v>
      </c>
    </row>
    <row r="5">
      <c r="A5" s="21">
        <v>45965.0</v>
      </c>
      <c r="B5" s="23" t="s">
        <v>100</v>
      </c>
      <c r="C5" s="43" t="s">
        <v>92</v>
      </c>
      <c r="D5" s="30" t="str">
        <f>IF(C5&lt;&gt;"",VLOOKUP(C5,ENSEIGNES!$B$2:$D971,2,FALSE),"")</f>
        <v>Centrale</v>
      </c>
      <c r="E5" s="30" t="str">
        <f>IF(C5&lt;&gt;"",VLOOKUP(C5,ENSEIGNES!$B$2:$D971,3,FALSE),"")</f>
        <v>CAP FRAIS</v>
      </c>
      <c r="F5" s="31">
        <v>357.28</v>
      </c>
      <c r="G5" s="32">
        <f t="shared" si="1"/>
        <v>376.9304</v>
      </c>
      <c r="H5" s="34">
        <f>IF(D5="Direct",PARAMETRES!$C$20,IF(D5="Centrale",PARAMETRES!$C$21,0))</f>
        <v>0.05</v>
      </c>
      <c r="I5" s="38">
        <f t="shared" si="2"/>
        <v>17.864</v>
      </c>
      <c r="J5" s="40">
        <f t="shared" si="3"/>
        <v>11</v>
      </c>
      <c r="K5" s="40">
        <f t="shared" si="4"/>
        <v>2025</v>
      </c>
      <c r="L5" s="30">
        <f t="shared" si="5"/>
        <v>1</v>
      </c>
    </row>
    <row r="6">
      <c r="A6" s="21">
        <v>45966.0</v>
      </c>
      <c r="B6" s="23" t="s">
        <v>102</v>
      </c>
      <c r="C6" s="23" t="s">
        <v>39</v>
      </c>
      <c r="D6" s="30" t="str">
        <f>IF(C6&lt;&gt;"",VLOOKUP(C6,ENSEIGNES!$B$2:$D971,2,FALSE),"")</f>
        <v>Direct</v>
      </c>
      <c r="E6" s="30" t="str">
        <f>IF(C6&lt;&gt;"",VLOOKUP(C6,ENSEIGNES!$B$2:$D971,3,FALSE),"")</f>
        <v>CAP FRAIS</v>
      </c>
      <c r="F6" s="31">
        <v>361.92</v>
      </c>
      <c r="G6" s="32">
        <f t="shared" si="1"/>
        <v>381.8256</v>
      </c>
      <c r="H6" s="34">
        <f>IF(D6="Direct",PARAMETRES!$C$20,IF(D6="Centrale",PARAMETRES!$C$21,0))</f>
        <v>0.07</v>
      </c>
      <c r="I6" s="38">
        <f t="shared" si="2"/>
        <v>25.3344</v>
      </c>
      <c r="J6" s="40">
        <f t="shared" si="3"/>
        <v>11</v>
      </c>
      <c r="K6" s="40">
        <f t="shared" si="4"/>
        <v>2025</v>
      </c>
      <c r="L6" s="30">
        <f t="shared" si="5"/>
        <v>1</v>
      </c>
    </row>
    <row r="7">
      <c r="A7" s="21">
        <v>45967.0</v>
      </c>
      <c r="B7" s="23" t="s">
        <v>105</v>
      </c>
      <c r="C7" s="23" t="s">
        <v>53</v>
      </c>
      <c r="D7" s="30" t="str">
        <f>IF(C7&lt;&gt;"",VLOOKUP(C7,ENSEIGNES!$B$2:$D971,2,FALSE),"")</f>
        <v>Direct</v>
      </c>
      <c r="E7" s="30" t="str">
        <f>IF(C7&lt;&gt;"",VLOOKUP(C7,ENSEIGNES!$B$2:$D971,3,FALSE),"")</f>
        <v>CAP FRAIS</v>
      </c>
      <c r="F7" s="31">
        <v>418.14</v>
      </c>
      <c r="G7" s="32">
        <f t="shared" si="1"/>
        <v>441.1377</v>
      </c>
      <c r="H7" s="34">
        <f>IF(D7="Direct",PARAMETRES!$C$20,IF(D7="Centrale",PARAMETRES!$C$21,0))</f>
        <v>0.07</v>
      </c>
      <c r="I7" s="38">
        <f t="shared" si="2"/>
        <v>29.2698</v>
      </c>
      <c r="J7" s="40">
        <f t="shared" si="3"/>
        <v>11</v>
      </c>
      <c r="K7" s="40">
        <f t="shared" si="4"/>
        <v>2025</v>
      </c>
      <c r="L7" s="30">
        <f t="shared" si="5"/>
        <v>1</v>
      </c>
    </row>
    <row r="8">
      <c r="A8" s="21">
        <v>45973.0</v>
      </c>
      <c r="B8" s="23" t="s">
        <v>116</v>
      </c>
      <c r="C8" s="23" t="s">
        <v>58</v>
      </c>
      <c r="D8" s="30" t="str">
        <f>IF(C8&lt;&gt;"",VLOOKUP(C8,ENSEIGNES!$B$2:$D971,2,FALSE),"")</f>
        <v>Direct</v>
      </c>
      <c r="E8" s="30" t="str">
        <f>IF(C8&lt;&gt;"",VLOOKUP(C8,ENSEIGNES!$B$2:$D971,3,FALSE),"")</f>
        <v>CAP FRAIS</v>
      </c>
      <c r="F8" s="31">
        <v>464.0</v>
      </c>
      <c r="G8" s="32">
        <f t="shared" si="1"/>
        <v>489.52</v>
      </c>
      <c r="H8" s="34">
        <f>IF(D8="Direct",PARAMETRES!$C$20,IF(D8="Centrale",PARAMETRES!$C$21,0))</f>
        <v>0.07</v>
      </c>
      <c r="I8" s="38">
        <f t="shared" si="2"/>
        <v>32.48</v>
      </c>
      <c r="J8" s="40">
        <f t="shared" si="3"/>
        <v>11</v>
      </c>
      <c r="K8" s="40">
        <f t="shared" si="4"/>
        <v>2025</v>
      </c>
      <c r="L8" s="30">
        <f t="shared" si="5"/>
        <v>1</v>
      </c>
    </row>
    <row r="9">
      <c r="A9" s="21">
        <v>45973.0</v>
      </c>
      <c r="B9" s="23" t="s">
        <v>117</v>
      </c>
      <c r="C9" s="23" t="s">
        <v>57</v>
      </c>
      <c r="D9" s="30" t="str">
        <f>IF(C9&lt;&gt;"",VLOOKUP(C9,ENSEIGNES!$B$2:$D971,2,FALSE),"")</f>
        <v>Direct</v>
      </c>
      <c r="E9" s="30" t="str">
        <f>IF(C9&lt;&gt;"",VLOOKUP(C9,ENSEIGNES!$B$2:$D971,3,FALSE),"")</f>
        <v>CAP FRAIS</v>
      </c>
      <c r="F9" s="31">
        <v>361.92</v>
      </c>
      <c r="G9" s="32">
        <f t="shared" si="1"/>
        <v>381.8256</v>
      </c>
      <c r="H9" s="34">
        <f>IF(D9="Direct",PARAMETRES!$C$20,IF(D9="Centrale",PARAMETRES!$C$21,0))</f>
        <v>0.07</v>
      </c>
      <c r="I9" s="38">
        <f t="shared" si="2"/>
        <v>25.3344</v>
      </c>
      <c r="J9" s="40">
        <f t="shared" si="3"/>
        <v>11</v>
      </c>
      <c r="K9" s="40">
        <f t="shared" si="4"/>
        <v>2025</v>
      </c>
      <c r="L9" s="30">
        <f t="shared" si="5"/>
        <v>1</v>
      </c>
    </row>
    <row r="10">
      <c r="A10" s="21">
        <v>45975.0</v>
      </c>
      <c r="B10" s="23" t="s">
        <v>118</v>
      </c>
      <c r="C10" s="23" t="s">
        <v>56</v>
      </c>
      <c r="D10" s="30" t="str">
        <f>IF(C10&lt;&gt;"",VLOOKUP(C10,ENSEIGNES!$B$2:$D971,2,FALSE),"")</f>
        <v>Direct</v>
      </c>
      <c r="E10" s="30" t="str">
        <f>IF(C10&lt;&gt;"",VLOOKUP(C10,ENSEIGNES!$B$2:$D971,3,FALSE),"")</f>
        <v>CAP FRAIS</v>
      </c>
      <c r="F10" s="31">
        <v>487.2</v>
      </c>
      <c r="G10" s="32">
        <f t="shared" si="1"/>
        <v>513.996</v>
      </c>
      <c r="H10" s="34">
        <f>IF(D10="Direct",PARAMETRES!$C$20,IF(D10="Centrale",PARAMETRES!$C$21,0))</f>
        <v>0.07</v>
      </c>
      <c r="I10" s="38">
        <f t="shared" si="2"/>
        <v>34.104</v>
      </c>
      <c r="J10" s="40">
        <f t="shared" si="3"/>
        <v>11</v>
      </c>
      <c r="K10" s="40">
        <f t="shared" si="4"/>
        <v>2025</v>
      </c>
      <c r="L10" s="30">
        <f t="shared" si="5"/>
        <v>1</v>
      </c>
    </row>
    <row r="11">
      <c r="A11" s="21">
        <v>45975.0</v>
      </c>
      <c r="B11" s="23" t="s">
        <v>126</v>
      </c>
      <c r="C11" s="43" t="s">
        <v>92</v>
      </c>
      <c r="D11" s="30" t="str">
        <f>IF(C11&lt;&gt;"",VLOOKUP(C11,ENSEIGNES!$B$2:$D971,2,FALSE),"")</f>
        <v>Centrale</v>
      </c>
      <c r="E11" s="30" t="str">
        <f>IF(C11&lt;&gt;"",VLOOKUP(C11,ENSEIGNES!$B$2:$D971,3,FALSE),"")</f>
        <v>CAP FRAIS</v>
      </c>
      <c r="F11" s="31">
        <v>556.8</v>
      </c>
      <c r="G11" s="32">
        <f t="shared" si="1"/>
        <v>587.424</v>
      </c>
      <c r="H11" s="34">
        <f>IF(D11="Direct",PARAMETRES!$C$20,IF(D11="Centrale",PARAMETRES!$C$21,0))</f>
        <v>0.05</v>
      </c>
      <c r="I11" s="38">
        <f t="shared" si="2"/>
        <v>27.84</v>
      </c>
      <c r="J11" s="40">
        <f t="shared" si="3"/>
        <v>11</v>
      </c>
      <c r="K11" s="40">
        <f t="shared" si="4"/>
        <v>2025</v>
      </c>
      <c r="L11" s="30">
        <f t="shared" si="5"/>
        <v>0</v>
      </c>
    </row>
    <row r="12">
      <c r="A12" s="21">
        <v>45975.0</v>
      </c>
      <c r="B12" s="23" t="s">
        <v>134</v>
      </c>
      <c r="C12" s="23" t="s">
        <v>55</v>
      </c>
      <c r="D12" s="30" t="str">
        <f>IF(C12&lt;&gt;"",VLOOKUP(C12,ENSEIGNES!$B$2:$D971,2,FALSE),"")</f>
        <v>Direct</v>
      </c>
      <c r="E12" s="30" t="str">
        <f>IF(C12&lt;&gt;"",VLOOKUP(C12,ENSEIGNES!$B$2:$D971,3,FALSE),"")</f>
        <v>CAP FRAIS</v>
      </c>
      <c r="F12" s="31">
        <v>709.92</v>
      </c>
      <c r="G12" s="32">
        <f t="shared" si="1"/>
        <v>748.9656</v>
      </c>
      <c r="H12" s="34">
        <f>IF(D12="Direct",PARAMETRES!$C$20,IF(D12="Centrale",PARAMETRES!$C$21,0))</f>
        <v>0.07</v>
      </c>
      <c r="I12" s="38">
        <f t="shared" si="2"/>
        <v>49.6944</v>
      </c>
      <c r="J12" s="40">
        <f t="shared" si="3"/>
        <v>11</v>
      </c>
      <c r="K12" s="40">
        <f t="shared" si="4"/>
        <v>2025</v>
      </c>
      <c r="L12" s="30">
        <f t="shared" si="5"/>
        <v>1</v>
      </c>
    </row>
    <row r="13">
      <c r="A13" s="21">
        <v>45975.0</v>
      </c>
      <c r="B13" s="23" t="s">
        <v>135</v>
      </c>
      <c r="C13" s="23" t="s">
        <v>60</v>
      </c>
      <c r="D13" s="30" t="str">
        <f>IF(C13&lt;&gt;"",VLOOKUP(C13,ENSEIGNES!$B$2:$D971,2,FALSE),"")</f>
        <v>Direct</v>
      </c>
      <c r="E13" s="30" t="str">
        <f>IF(C13&lt;&gt;"",VLOOKUP(C13,ENSEIGNES!$B$2:$D971,3,FALSE),"")</f>
        <v>CAP FRAIS</v>
      </c>
      <c r="F13" s="31">
        <v>719.2</v>
      </c>
      <c r="G13" s="32">
        <f t="shared" si="1"/>
        <v>758.756</v>
      </c>
      <c r="H13" s="34">
        <f>IF(D13="Direct",PARAMETRES!$C$20,IF(D13="Centrale",PARAMETRES!$C$21,0))</f>
        <v>0.07</v>
      </c>
      <c r="I13" s="38">
        <f t="shared" si="2"/>
        <v>50.344</v>
      </c>
      <c r="J13" s="40">
        <f t="shared" si="3"/>
        <v>11</v>
      </c>
      <c r="K13" s="40">
        <f t="shared" si="4"/>
        <v>2025</v>
      </c>
      <c r="L13" s="30">
        <f t="shared" si="5"/>
        <v>1</v>
      </c>
    </row>
    <row r="14">
      <c r="A14" s="21">
        <v>45975.0</v>
      </c>
      <c r="B14" s="23" t="s">
        <v>136</v>
      </c>
      <c r="C14" s="23" t="s">
        <v>39</v>
      </c>
      <c r="D14" s="30" t="str">
        <f>IF(C14&lt;&gt;"",VLOOKUP(C14,ENSEIGNES!$B$2:$D971,2,FALSE),"")</f>
        <v>Direct</v>
      </c>
      <c r="E14" s="30" t="str">
        <f>IF(C14&lt;&gt;"",VLOOKUP(C14,ENSEIGNES!$B$2:$D971,3,FALSE),"")</f>
        <v>CAP FRAIS</v>
      </c>
      <c r="F14" s="31">
        <v>454.72</v>
      </c>
      <c r="G14" s="32">
        <f t="shared" si="1"/>
        <v>479.7296</v>
      </c>
      <c r="H14" s="34">
        <f>IF(D14="Direct",PARAMETRES!$C$20,IF(D14="Centrale",PARAMETRES!$C$21,0))</f>
        <v>0.07</v>
      </c>
      <c r="I14" s="38">
        <f t="shared" si="2"/>
        <v>31.8304</v>
      </c>
      <c r="J14" s="40">
        <f t="shared" si="3"/>
        <v>11</v>
      </c>
      <c r="K14" s="40">
        <f t="shared" si="4"/>
        <v>2025</v>
      </c>
      <c r="L14" s="30">
        <f t="shared" si="5"/>
        <v>0</v>
      </c>
    </row>
    <row r="15">
      <c r="A15" s="21">
        <v>45979.0</v>
      </c>
      <c r="B15" s="23" t="s">
        <v>137</v>
      </c>
      <c r="C15" s="43" t="s">
        <v>92</v>
      </c>
      <c r="D15" s="30" t="str">
        <f>IF(C15&lt;&gt;"",VLOOKUP(C15,ENSEIGNES!$B$2:$D971,2,FALSE),"")</f>
        <v>Centrale</v>
      </c>
      <c r="E15" s="30" t="str">
        <f>IF(C15&lt;&gt;"",VLOOKUP(C15,ENSEIGNES!$B$2:$D971,3,FALSE),"")</f>
        <v>CAP FRAIS</v>
      </c>
      <c r="F15" s="31">
        <v>431.52</v>
      </c>
      <c r="G15" s="32">
        <f t="shared" si="1"/>
        <v>455.2536</v>
      </c>
      <c r="H15" s="34">
        <f>IF(D15="Direct",PARAMETRES!$C$20,IF(D15="Centrale",PARAMETRES!$C$21,0))</f>
        <v>0.05</v>
      </c>
      <c r="I15" s="38">
        <f t="shared" si="2"/>
        <v>21.576</v>
      </c>
      <c r="J15" s="40">
        <f t="shared" si="3"/>
        <v>11</v>
      </c>
      <c r="K15" s="40">
        <f t="shared" si="4"/>
        <v>2025</v>
      </c>
      <c r="L15" s="30">
        <f t="shared" si="5"/>
        <v>0</v>
      </c>
    </row>
    <row r="16">
      <c r="A16" s="21">
        <v>45981.0</v>
      </c>
      <c r="B16" s="23" t="s">
        <v>138</v>
      </c>
      <c r="C16" s="23" t="s">
        <v>54</v>
      </c>
      <c r="D16" s="30" t="str">
        <f>IF(C16&lt;&gt;"",VLOOKUP(C16,ENSEIGNES!$B$2:$D971,2,FALSE),"")</f>
        <v>Direct</v>
      </c>
      <c r="E16" s="30" t="str">
        <f>IF(C16&lt;&gt;"",VLOOKUP(C16,ENSEIGNES!$B$2:$D971,3,FALSE),"")</f>
        <v>CAP FRAIS</v>
      </c>
      <c r="F16" s="31">
        <v>412.96</v>
      </c>
      <c r="G16" s="32">
        <f t="shared" si="1"/>
        <v>435.6728</v>
      </c>
      <c r="H16" s="34">
        <f>IF(D16="Direct",PARAMETRES!$C$20,IF(D16="Centrale",PARAMETRES!$C$21,0))</f>
        <v>0.07</v>
      </c>
      <c r="I16" s="38">
        <f t="shared" si="2"/>
        <v>28.9072</v>
      </c>
      <c r="J16" s="40">
        <f t="shared" si="3"/>
        <v>11</v>
      </c>
      <c r="K16" s="40">
        <f t="shared" si="4"/>
        <v>2025</v>
      </c>
      <c r="L16" s="30">
        <f t="shared" si="5"/>
        <v>1</v>
      </c>
    </row>
    <row r="17">
      <c r="A17" s="21">
        <v>45981.0</v>
      </c>
      <c r="B17" s="23" t="s">
        <v>139</v>
      </c>
      <c r="C17" s="23" t="s">
        <v>41</v>
      </c>
      <c r="D17" s="30" t="str">
        <f>IF(C17&lt;&gt;"",VLOOKUP(C17,ENSEIGNES!$B$2:$D971,2,FALSE),"")</f>
        <v>Direct</v>
      </c>
      <c r="E17" s="30" t="str">
        <f>IF(C17&lt;&gt;"",VLOOKUP(C17,ENSEIGNES!$B$2:$D971,3,FALSE),"")</f>
        <v>CAP FRAIS</v>
      </c>
      <c r="F17" s="31">
        <v>375.84</v>
      </c>
      <c r="G17" s="32">
        <f t="shared" si="1"/>
        <v>396.5112</v>
      </c>
      <c r="H17" s="34">
        <f>IF(D17="Direct",PARAMETRES!$C$20,IF(D17="Centrale",PARAMETRES!$C$21,0))</f>
        <v>0.07</v>
      </c>
      <c r="I17" s="38">
        <f t="shared" si="2"/>
        <v>26.3088</v>
      </c>
      <c r="J17" s="40">
        <f t="shared" si="3"/>
        <v>11</v>
      </c>
      <c r="K17" s="40">
        <f t="shared" si="4"/>
        <v>2025</v>
      </c>
      <c r="L17" s="30">
        <f t="shared" si="5"/>
        <v>1</v>
      </c>
    </row>
    <row r="18" ht="15.75" customHeight="1">
      <c r="A18" s="21">
        <v>45987.0</v>
      </c>
      <c r="B18" s="23" t="s">
        <v>140</v>
      </c>
      <c r="C18" s="43" t="s">
        <v>92</v>
      </c>
      <c r="D18" s="30" t="str">
        <f>IF(C18&lt;&gt;"",VLOOKUP(C18,ENSEIGNES!$B$2:$D971,2,FALSE),"")</f>
        <v>Centrale</v>
      </c>
      <c r="E18" s="30" t="str">
        <f>IF(C18&lt;&gt;"",VLOOKUP(C18,ENSEIGNES!$B$2:$D971,3,FALSE),"")</f>
        <v>CAP FRAIS</v>
      </c>
      <c r="F18" s="31">
        <v>357.28</v>
      </c>
      <c r="G18" s="32">
        <f t="shared" si="1"/>
        <v>376.9304</v>
      </c>
      <c r="H18" s="34">
        <f>IF(D18="Direct",PARAMETRES!$C$20,IF(D18="Centrale",PARAMETRES!$C$21,0))</f>
        <v>0.05</v>
      </c>
      <c r="I18" s="38">
        <f t="shared" si="2"/>
        <v>17.864</v>
      </c>
      <c r="J18" s="40">
        <f t="shared" si="3"/>
        <v>11</v>
      </c>
      <c r="K18" s="40">
        <f t="shared" si="4"/>
        <v>2025</v>
      </c>
      <c r="L18" s="30">
        <f t="shared" si="5"/>
        <v>0</v>
      </c>
    </row>
    <row r="19" ht="15.75" customHeight="1">
      <c r="A19" s="21">
        <v>45987.0</v>
      </c>
      <c r="B19" s="23" t="s">
        <v>142</v>
      </c>
      <c r="C19" s="23" t="s">
        <v>53</v>
      </c>
      <c r="D19" s="30" t="str">
        <f>IF(C19&lt;&gt;"",VLOOKUP(C19,ENSEIGNES!$B$2:$D971,2,FALSE),"")</f>
        <v>Direct</v>
      </c>
      <c r="E19" s="30" t="str">
        <f>IF(C19&lt;&gt;"",VLOOKUP(C19,ENSEIGNES!$B$2:$D971,3,FALSE),"")</f>
        <v>CAP FRAIS</v>
      </c>
      <c r="F19" s="31">
        <v>418.14</v>
      </c>
      <c r="G19" s="32">
        <f t="shared" si="1"/>
        <v>441.1377</v>
      </c>
      <c r="H19" s="34">
        <f>IF(D19="Direct",PARAMETRES!$C$20,IF(D19="Centrale",PARAMETRES!$C$21,0))</f>
        <v>0.07</v>
      </c>
      <c r="I19" s="38">
        <f t="shared" si="2"/>
        <v>29.2698</v>
      </c>
      <c r="J19" s="40">
        <f t="shared" si="3"/>
        <v>11</v>
      </c>
      <c r="K19" s="40">
        <f t="shared" si="4"/>
        <v>2025</v>
      </c>
      <c r="L19" s="30">
        <f t="shared" si="5"/>
        <v>0</v>
      </c>
    </row>
    <row r="20" ht="15.75" customHeight="1">
      <c r="A20" s="21">
        <v>45989.0</v>
      </c>
      <c r="B20" s="23" t="s">
        <v>156</v>
      </c>
      <c r="C20" s="43" t="s">
        <v>92</v>
      </c>
      <c r="D20" s="30" t="str">
        <f>IF(C20&lt;&gt;"",VLOOKUP(C20,ENSEIGNES!$B$2:$D971,2,FALSE),"")</f>
        <v>Centrale</v>
      </c>
      <c r="E20" s="30" t="str">
        <f>IF(C20&lt;&gt;"",VLOOKUP(C20,ENSEIGNES!$B$2:$D971,3,FALSE),"")</f>
        <v>CAP FRAIS</v>
      </c>
      <c r="F20" s="31">
        <v>728.48</v>
      </c>
      <c r="G20" s="32">
        <f t="shared" si="1"/>
        <v>768.5464</v>
      </c>
      <c r="H20" s="34">
        <f>IF(D20="Direct",PARAMETRES!$C$20,IF(D20="Centrale",PARAMETRES!$C$21,0))</f>
        <v>0.05</v>
      </c>
      <c r="I20" s="38">
        <f t="shared" si="2"/>
        <v>36.424</v>
      </c>
      <c r="J20" s="40">
        <f t="shared" si="3"/>
        <v>11</v>
      </c>
      <c r="K20" s="40">
        <f t="shared" si="4"/>
        <v>2025</v>
      </c>
      <c r="L20" s="30">
        <f t="shared" si="5"/>
        <v>0</v>
      </c>
    </row>
    <row r="21" ht="15.75" customHeight="1">
      <c r="A21" s="21">
        <v>45993.0</v>
      </c>
      <c r="B21" s="23" t="s">
        <v>157</v>
      </c>
      <c r="C21" s="43" t="s">
        <v>92</v>
      </c>
      <c r="D21" s="30" t="str">
        <f>IF(C21&lt;&gt;"",VLOOKUP(C21,ENSEIGNES!$B$2:$D971,2,FALSE),"")</f>
        <v>Centrale</v>
      </c>
      <c r="E21" s="30" t="str">
        <f>IF(C21&lt;&gt;"",VLOOKUP(C21,ENSEIGNES!$B$2:$D971,3,FALSE),"")</f>
        <v>CAP FRAIS</v>
      </c>
      <c r="F21" s="31">
        <v>464.0</v>
      </c>
      <c r="G21" s="32">
        <f t="shared" si="1"/>
        <v>489.52</v>
      </c>
      <c r="H21" s="34">
        <f>IF(D21="Direct",PARAMETRES!$C$20,IF(D21="Centrale",PARAMETRES!$C$21,0))</f>
        <v>0.05</v>
      </c>
      <c r="I21" s="38">
        <f t="shared" si="2"/>
        <v>23.2</v>
      </c>
      <c r="J21" s="40">
        <f t="shared" si="3"/>
        <v>12</v>
      </c>
      <c r="K21" s="40">
        <f t="shared" si="4"/>
        <v>2025</v>
      </c>
      <c r="L21" s="30">
        <f t="shared" si="5"/>
        <v>1</v>
      </c>
    </row>
    <row r="22" ht="15.75" customHeight="1">
      <c r="A22" s="21">
        <v>45994.0</v>
      </c>
      <c r="B22" s="23" t="s">
        <v>158</v>
      </c>
      <c r="C22" s="23" t="s">
        <v>60</v>
      </c>
      <c r="D22" s="30" t="str">
        <f>IF(C22&lt;&gt;"",VLOOKUP(C22,ENSEIGNES!$B$2:$D971,2,FALSE),"")</f>
        <v>Direct</v>
      </c>
      <c r="E22" s="30" t="str">
        <f>IF(C22&lt;&gt;"",VLOOKUP(C22,ENSEIGNES!$B$2:$D971,3,FALSE),"")</f>
        <v>CAP FRAIS</v>
      </c>
      <c r="F22" s="31">
        <v>812.0</v>
      </c>
      <c r="G22" s="32">
        <f t="shared" si="1"/>
        <v>856.66</v>
      </c>
      <c r="H22" s="34">
        <f>IF(D22="Direct",PARAMETRES!$C$20,IF(D22="Centrale",PARAMETRES!$C$21,0))</f>
        <v>0.07</v>
      </c>
      <c r="I22" s="38">
        <f t="shared" si="2"/>
        <v>56.84</v>
      </c>
      <c r="J22" s="40">
        <f t="shared" si="3"/>
        <v>12</v>
      </c>
      <c r="K22" s="40">
        <f t="shared" si="4"/>
        <v>2025</v>
      </c>
      <c r="L22" s="30">
        <f t="shared" si="5"/>
        <v>1</v>
      </c>
    </row>
    <row r="23" ht="15.75" customHeight="1">
      <c r="A23" s="21">
        <v>45995.0</v>
      </c>
      <c r="B23" s="23" t="s">
        <v>159</v>
      </c>
      <c r="C23" s="43" t="s">
        <v>92</v>
      </c>
      <c r="D23" s="30" t="str">
        <f>IF(C23&lt;&gt;"",VLOOKUP(C23,ENSEIGNES!$B$2:$D971,2,FALSE),"")</f>
        <v>Centrale</v>
      </c>
      <c r="E23" s="30" t="str">
        <f>IF(C23&lt;&gt;"",VLOOKUP(C23,ENSEIGNES!$B$2:$D971,3,FALSE),"")</f>
        <v>CAP FRAIS</v>
      </c>
      <c r="F23" s="31">
        <v>464.0</v>
      </c>
      <c r="G23" s="32">
        <f t="shared" si="1"/>
        <v>489.52</v>
      </c>
      <c r="H23" s="34">
        <f>IF(D23="Direct",PARAMETRES!$C$20,IF(D23="Centrale",PARAMETRES!$C$21,0))</f>
        <v>0.05</v>
      </c>
      <c r="I23" s="38">
        <f t="shared" si="2"/>
        <v>23.2</v>
      </c>
      <c r="J23" s="40">
        <f t="shared" si="3"/>
        <v>12</v>
      </c>
      <c r="K23" s="40">
        <f t="shared" si="4"/>
        <v>2025</v>
      </c>
      <c r="L23" s="30">
        <f t="shared" si="5"/>
        <v>0</v>
      </c>
    </row>
    <row r="24" ht="15.75" customHeight="1">
      <c r="A24" s="21">
        <v>46010.0</v>
      </c>
      <c r="B24" s="23" t="s">
        <v>160</v>
      </c>
      <c r="C24" s="43" t="s">
        <v>92</v>
      </c>
      <c r="D24" s="30" t="str">
        <f>IF(C24&lt;&gt;"",VLOOKUP(C24,ENSEIGNES!$B$2:$D971,2,FALSE),"")</f>
        <v>Centrale</v>
      </c>
      <c r="E24" s="30" t="str">
        <f>IF(C24&lt;&gt;"",VLOOKUP(C24,ENSEIGNES!$B$2:$D971,3,FALSE),"")</f>
        <v>CAP FRAIS</v>
      </c>
      <c r="F24" s="31">
        <v>635.68</v>
      </c>
      <c r="G24" s="32">
        <f t="shared" si="1"/>
        <v>670.6424</v>
      </c>
      <c r="H24" s="34">
        <f>IF(D24="Direct",PARAMETRES!$C$20,IF(D24="Centrale",PARAMETRES!$C$21,0))</f>
        <v>0.05</v>
      </c>
      <c r="I24" s="38">
        <f t="shared" si="2"/>
        <v>31.784</v>
      </c>
      <c r="J24" s="40">
        <f t="shared" si="3"/>
        <v>12</v>
      </c>
      <c r="K24" s="40">
        <f t="shared" si="4"/>
        <v>2025</v>
      </c>
      <c r="L24" s="30">
        <f t="shared" si="5"/>
        <v>0</v>
      </c>
    </row>
    <row r="25" ht="15.75" customHeight="1">
      <c r="A25" s="21">
        <v>46022.0</v>
      </c>
      <c r="B25" s="23" t="s">
        <v>161</v>
      </c>
      <c r="C25" s="23" t="s">
        <v>39</v>
      </c>
      <c r="D25" s="30" t="str">
        <f>IF(C25&lt;&gt;"",VLOOKUP(C25,ENSEIGNES!$B$2:$D971,2,FALSE),"")</f>
        <v>Direct</v>
      </c>
      <c r="E25" s="30" t="str">
        <f>IF(C25&lt;&gt;"",VLOOKUP(C25,ENSEIGNES!$B$2:$D971,3,FALSE),"")</f>
        <v>CAP FRAIS</v>
      </c>
      <c r="F25" s="31">
        <v>459.36</v>
      </c>
      <c r="G25" s="32">
        <f t="shared" si="1"/>
        <v>484.6248</v>
      </c>
      <c r="H25" s="34">
        <f>IF(D25="Direct",PARAMETRES!$C$20,IF(D25="Centrale",PARAMETRES!$C$21,0))</f>
        <v>0.07</v>
      </c>
      <c r="I25" s="38">
        <f t="shared" si="2"/>
        <v>32.1552</v>
      </c>
      <c r="J25" s="40">
        <f t="shared" si="3"/>
        <v>12</v>
      </c>
      <c r="K25" s="40">
        <f t="shared" si="4"/>
        <v>2025</v>
      </c>
      <c r="L25" s="30">
        <f t="shared" si="5"/>
        <v>1</v>
      </c>
    </row>
    <row r="26" ht="15.75" customHeight="1">
      <c r="A26" s="21">
        <v>46034.0</v>
      </c>
      <c r="B26" s="23" t="s">
        <v>162</v>
      </c>
      <c r="C26" s="23" t="s">
        <v>49</v>
      </c>
      <c r="D26" s="30" t="str">
        <f>IF(C26&lt;&gt;"",VLOOKUP(C26,ENSEIGNES!$B$2:$D971,2,FALSE),"")</f>
        <v>Direct</v>
      </c>
      <c r="E26" s="30" t="str">
        <f>IF(C26&lt;&gt;"",VLOOKUP(C26,ENSEIGNES!$B$2:$D971,3,FALSE),"")</f>
        <v>CAP FRAIS</v>
      </c>
      <c r="F26" s="31">
        <v>457.12</v>
      </c>
      <c r="G26" s="32">
        <f t="shared" si="1"/>
        <v>482.2616</v>
      </c>
      <c r="H26" s="34">
        <f>IF(D26="Direct",PARAMETRES!$C$20,IF(D26="Centrale",PARAMETRES!$C$21,0))</f>
        <v>0.07</v>
      </c>
      <c r="I26" s="38">
        <f t="shared" si="2"/>
        <v>31.9984</v>
      </c>
      <c r="J26" s="40">
        <f t="shared" si="3"/>
        <v>1</v>
      </c>
      <c r="K26" s="40">
        <f t="shared" si="4"/>
        <v>2026</v>
      </c>
      <c r="L26" s="30">
        <f t="shared" si="5"/>
        <v>1</v>
      </c>
    </row>
    <row r="27" ht="15.75" customHeight="1">
      <c r="A27" s="21">
        <v>46034.0</v>
      </c>
      <c r="B27" s="23" t="s">
        <v>163</v>
      </c>
      <c r="C27" s="43" t="s">
        <v>92</v>
      </c>
      <c r="D27" s="30" t="str">
        <f>IF(C27&lt;&gt;"",VLOOKUP(C27,ENSEIGNES!$B$2:$D971,2,FALSE),"")</f>
        <v>Centrale</v>
      </c>
      <c r="E27" s="30" t="str">
        <f>IF(C27&lt;&gt;"",VLOOKUP(C27,ENSEIGNES!$B$2:$D971,3,FALSE),"")</f>
        <v>CAP FRAIS</v>
      </c>
      <c r="F27" s="31">
        <v>431.52</v>
      </c>
      <c r="G27" s="32">
        <f t="shared" si="1"/>
        <v>455.2536</v>
      </c>
      <c r="H27" s="34">
        <f>IF(D27="Direct",PARAMETRES!$C$20,IF(D27="Centrale",PARAMETRES!$C$21,0))</f>
        <v>0.05</v>
      </c>
      <c r="I27" s="38">
        <f t="shared" si="2"/>
        <v>21.576</v>
      </c>
      <c r="J27" s="40">
        <f t="shared" si="3"/>
        <v>1</v>
      </c>
      <c r="K27" s="40">
        <f t="shared" si="4"/>
        <v>2026</v>
      </c>
      <c r="L27" s="30">
        <f t="shared" si="5"/>
        <v>1</v>
      </c>
    </row>
    <row r="28" ht="15.75" customHeight="1">
      <c r="A28" s="21">
        <v>46037.0</v>
      </c>
      <c r="B28" s="23" t="s">
        <v>164</v>
      </c>
      <c r="C28" s="23" t="s">
        <v>47</v>
      </c>
      <c r="D28" s="30" t="str">
        <f>IF(C28&lt;&gt;"",VLOOKUP(C28,ENSEIGNES!$B$2:$D971,2,FALSE),"")</f>
        <v>Direct</v>
      </c>
      <c r="E28" s="30" t="str">
        <f>IF(C28&lt;&gt;"",VLOOKUP(C28,ENSEIGNES!$B$2:$D971,3,FALSE),"")</f>
        <v>CAP FRAIS</v>
      </c>
      <c r="F28" s="31">
        <v>450.08</v>
      </c>
      <c r="G28" s="32">
        <f t="shared" si="1"/>
        <v>474.8344</v>
      </c>
      <c r="H28" s="34">
        <f>IF(D28="Direct",PARAMETRES!$C$20,IF(D28="Centrale",PARAMETRES!$C$21,0))</f>
        <v>0.07</v>
      </c>
      <c r="I28" s="38">
        <f t="shared" si="2"/>
        <v>31.5056</v>
      </c>
      <c r="J28" s="40">
        <f t="shared" si="3"/>
        <v>1</v>
      </c>
      <c r="K28" s="40">
        <f t="shared" si="4"/>
        <v>2026</v>
      </c>
      <c r="L28" s="30">
        <f t="shared" si="5"/>
        <v>1</v>
      </c>
    </row>
    <row r="29" ht="15.75" customHeight="1">
      <c r="A29" s="21">
        <v>46037.0</v>
      </c>
      <c r="B29" s="23" t="s">
        <v>165</v>
      </c>
      <c r="C29" s="23" t="s">
        <v>32</v>
      </c>
      <c r="D29" s="30" t="str">
        <f>IF(C29&lt;&gt;"",VLOOKUP(C29,ENSEIGNES!$B$2:$D971,2,FALSE),"")</f>
        <v>Direct</v>
      </c>
      <c r="E29" s="30" t="str">
        <f>IF(C29&lt;&gt;"",VLOOKUP(C29,ENSEIGNES!$B$2:$D971,3,FALSE),"")</f>
        <v>CAP FRAIS</v>
      </c>
      <c r="F29" s="31">
        <v>366.56</v>
      </c>
      <c r="G29" s="32">
        <f t="shared" si="1"/>
        <v>386.7208</v>
      </c>
      <c r="H29" s="34">
        <f>IF(D29="Direct",PARAMETRES!$C$20,IF(D29="Centrale",PARAMETRES!$C$21,0))</f>
        <v>0.07</v>
      </c>
      <c r="I29" s="38">
        <f t="shared" si="2"/>
        <v>25.6592</v>
      </c>
      <c r="J29" s="40">
        <f t="shared" si="3"/>
        <v>1</v>
      </c>
      <c r="K29" s="40">
        <f t="shared" si="4"/>
        <v>2026</v>
      </c>
      <c r="L29" s="30">
        <f t="shared" si="5"/>
        <v>1</v>
      </c>
    </row>
    <row r="30" ht="15.75" customHeight="1">
      <c r="A30" s="21">
        <v>46039.0</v>
      </c>
      <c r="B30" s="23" t="s">
        <v>166</v>
      </c>
      <c r="C30" s="43" t="s">
        <v>92</v>
      </c>
      <c r="D30" s="30" t="str">
        <f>IF(C30&lt;&gt;"",VLOOKUP(C30,ENSEIGNES!$B$2:$D971,2,FALSE),"")</f>
        <v>Centrale</v>
      </c>
      <c r="E30" s="30" t="str">
        <f>IF(C30&lt;&gt;"",VLOOKUP(C30,ENSEIGNES!$B$2:$D971,3,FALSE),"")</f>
        <v>CAP FRAIS</v>
      </c>
      <c r="F30" s="31">
        <v>812.0</v>
      </c>
      <c r="G30" s="32">
        <f t="shared" si="1"/>
        <v>856.66</v>
      </c>
      <c r="H30" s="34">
        <f>IF(D30="Direct",PARAMETRES!$C$20,IF(D30="Centrale",PARAMETRES!$C$21,0))</f>
        <v>0.05</v>
      </c>
      <c r="I30" s="38">
        <f t="shared" si="2"/>
        <v>40.6</v>
      </c>
      <c r="J30" s="40">
        <f t="shared" si="3"/>
        <v>1</v>
      </c>
      <c r="K30" s="40">
        <f t="shared" si="4"/>
        <v>2026</v>
      </c>
      <c r="L30" s="30">
        <f t="shared" si="5"/>
        <v>0</v>
      </c>
    </row>
    <row r="31" ht="15.75" customHeight="1">
      <c r="A31" s="21">
        <v>46039.0</v>
      </c>
      <c r="B31" s="23" t="s">
        <v>167</v>
      </c>
      <c r="C31" s="43" t="s">
        <v>91</v>
      </c>
      <c r="D31" s="30" t="str">
        <f>IF(C31&lt;&gt;"",VLOOKUP(C31,ENSEIGNES!$B$2:$D971,2,FALSE),"")</f>
        <v>Centrale</v>
      </c>
      <c r="E31" s="30" t="str">
        <f>IF(C31&lt;&gt;"",VLOOKUP(C31,ENSEIGNES!$B$2:$D971,3,FALSE),"")</f>
        <v>CAP FRAIS</v>
      </c>
      <c r="F31" s="31">
        <v>361.92</v>
      </c>
      <c r="G31" s="32">
        <f t="shared" si="1"/>
        <v>381.8256</v>
      </c>
      <c r="H31" s="34">
        <f>IF(D31="Direct",PARAMETRES!$C$20,IF(D31="Centrale",PARAMETRES!$C$21,0))</f>
        <v>0.05</v>
      </c>
      <c r="I31" s="38">
        <f t="shared" si="2"/>
        <v>18.096</v>
      </c>
      <c r="J31" s="40">
        <f t="shared" si="3"/>
        <v>1</v>
      </c>
      <c r="K31" s="40">
        <f t="shared" si="4"/>
        <v>2026</v>
      </c>
      <c r="L31" s="30">
        <f t="shared" si="5"/>
        <v>1</v>
      </c>
    </row>
    <row r="32" ht="15.75" customHeight="1">
      <c r="A32" s="21">
        <v>46042.0</v>
      </c>
      <c r="B32" s="23" t="s">
        <v>168</v>
      </c>
      <c r="C32" s="43" t="s">
        <v>92</v>
      </c>
      <c r="D32" s="30" t="str">
        <f>IF(C32&lt;&gt;"",VLOOKUP(C32,ENSEIGNES!$B$2:$D971,2,FALSE),"")</f>
        <v>Centrale</v>
      </c>
      <c r="E32" s="30" t="str">
        <f>IF(C32&lt;&gt;"",VLOOKUP(C32,ENSEIGNES!$B$2:$D971,3,FALSE),"")</f>
        <v>CAP FRAIS</v>
      </c>
      <c r="F32" s="31">
        <v>491.84</v>
      </c>
      <c r="G32" s="32">
        <f t="shared" si="1"/>
        <v>518.8912</v>
      </c>
      <c r="H32" s="34">
        <f>IF(D32="Direct",PARAMETRES!$C$20,IF(D32="Centrale",PARAMETRES!$C$21,0))</f>
        <v>0.05</v>
      </c>
      <c r="I32" s="38">
        <f t="shared" si="2"/>
        <v>24.592</v>
      </c>
      <c r="J32" s="40">
        <f t="shared" si="3"/>
        <v>1</v>
      </c>
      <c r="K32" s="40">
        <f t="shared" si="4"/>
        <v>2026</v>
      </c>
      <c r="L32" s="30">
        <f t="shared" si="5"/>
        <v>0</v>
      </c>
    </row>
    <row r="33" ht="15.75" customHeight="1">
      <c r="A33" s="21">
        <v>46043.0</v>
      </c>
      <c r="B33" s="23" t="s">
        <v>169</v>
      </c>
      <c r="C33" s="23" t="s">
        <v>41</v>
      </c>
      <c r="D33" s="30" t="str">
        <f>IF(C33&lt;&gt;"",VLOOKUP(C33,ENSEIGNES!$B$2:$D971,2,FALSE),"")</f>
        <v>Direct</v>
      </c>
      <c r="E33" s="30" t="str">
        <f>IF(C33&lt;&gt;"",VLOOKUP(C33,ENSEIGNES!$B$2:$D971,3,FALSE),"")</f>
        <v>CAP FRAIS</v>
      </c>
      <c r="F33" s="31">
        <v>417.6</v>
      </c>
      <c r="G33" s="32">
        <f t="shared" si="1"/>
        <v>440.568</v>
      </c>
      <c r="H33" s="34">
        <f>IF(D33="Direct",PARAMETRES!$C$20,IF(D33="Centrale",PARAMETRES!$C$21,0))</f>
        <v>0.07</v>
      </c>
      <c r="I33" s="38">
        <f t="shared" si="2"/>
        <v>29.232</v>
      </c>
      <c r="J33" s="40">
        <f t="shared" si="3"/>
        <v>1</v>
      </c>
      <c r="K33" s="40">
        <f t="shared" si="4"/>
        <v>2026</v>
      </c>
      <c r="L33" s="30">
        <f t="shared" si="5"/>
        <v>1</v>
      </c>
    </row>
    <row r="34" ht="15.75" customHeight="1">
      <c r="A34" s="21">
        <v>46045.0</v>
      </c>
      <c r="B34" s="23" t="s">
        <v>170</v>
      </c>
      <c r="C34" s="43" t="s">
        <v>47</v>
      </c>
      <c r="D34" s="30" t="str">
        <f>IF(C34&lt;&gt;"",VLOOKUP(C34,ENSEIGNES!$B$2:$D971,2,FALSE),"")</f>
        <v>Direct</v>
      </c>
      <c r="E34" s="30" t="str">
        <f>IF(C34&lt;&gt;"",VLOOKUP(C34,ENSEIGNES!$B$2:$D971,3,FALSE),"")</f>
        <v>CAP FRAIS</v>
      </c>
      <c r="F34" s="31">
        <v>547.52</v>
      </c>
      <c r="G34" s="32">
        <f t="shared" si="1"/>
        <v>577.6336</v>
      </c>
      <c r="H34" s="34">
        <f>IF(D34="Direct",PARAMETRES!$C$20,IF(D34="Centrale",PARAMETRES!$C$21,0))</f>
        <v>0.07</v>
      </c>
      <c r="I34" s="38">
        <f t="shared" si="2"/>
        <v>38.3264</v>
      </c>
      <c r="J34" s="40">
        <f t="shared" si="3"/>
        <v>1</v>
      </c>
      <c r="K34" s="40">
        <f t="shared" si="4"/>
        <v>2026</v>
      </c>
      <c r="L34" s="30">
        <f t="shared" si="5"/>
        <v>0</v>
      </c>
    </row>
    <row r="35" ht="15.75" customHeight="1">
      <c r="A35" s="21">
        <v>46045.0</v>
      </c>
      <c r="B35" s="23" t="s">
        <v>171</v>
      </c>
      <c r="C35" s="23" t="s">
        <v>39</v>
      </c>
      <c r="D35" s="30" t="str">
        <f>IF(C35&lt;&gt;"",VLOOKUP(C35,ENSEIGNES!$B$2:$D971,2,FALSE),"")</f>
        <v>Direct</v>
      </c>
      <c r="E35" s="30" t="str">
        <f>IF(C35&lt;&gt;"",VLOOKUP(C35,ENSEIGNES!$B$2:$D971,3,FALSE),"")</f>
        <v>CAP FRAIS</v>
      </c>
      <c r="F35" s="31">
        <v>139.2</v>
      </c>
      <c r="G35" s="32">
        <f t="shared" si="1"/>
        <v>146.856</v>
      </c>
      <c r="H35" s="34">
        <f>IF(D35="Direct",PARAMETRES!$C$20,IF(D35="Centrale",PARAMETRES!$C$21,0))</f>
        <v>0.07</v>
      </c>
      <c r="I35" s="38">
        <f t="shared" si="2"/>
        <v>9.744</v>
      </c>
      <c r="J35" s="40">
        <f t="shared" si="3"/>
        <v>1</v>
      </c>
      <c r="K35" s="40">
        <f t="shared" si="4"/>
        <v>2026</v>
      </c>
      <c r="L35" s="30">
        <f t="shared" si="5"/>
        <v>1</v>
      </c>
    </row>
    <row r="36" ht="15.75" customHeight="1">
      <c r="A36" s="21">
        <v>46049.0</v>
      </c>
      <c r="B36" s="23" t="s">
        <v>172</v>
      </c>
      <c r="C36" s="43" t="s">
        <v>92</v>
      </c>
      <c r="D36" s="30" t="str">
        <f>IF(C36&lt;&gt;"",VLOOKUP(C36,ENSEIGNES!$B$2:$D971,2,FALSE),"")</f>
        <v>Centrale</v>
      </c>
      <c r="E36" s="30" t="str">
        <f>IF(C36&lt;&gt;"",VLOOKUP(C36,ENSEIGNES!$B$2:$D971,3,FALSE),"")</f>
        <v>CAP FRAIS</v>
      </c>
      <c r="F36" s="31">
        <v>450.08</v>
      </c>
      <c r="G36" s="32">
        <f t="shared" si="1"/>
        <v>474.8344</v>
      </c>
      <c r="H36" s="34">
        <f>IF(D36="Direct",PARAMETRES!$C$20,IF(D36="Centrale",PARAMETRES!$C$21,0))</f>
        <v>0.05</v>
      </c>
      <c r="I36" s="38">
        <f t="shared" si="2"/>
        <v>22.504</v>
      </c>
      <c r="J36" s="40">
        <f t="shared" si="3"/>
        <v>1</v>
      </c>
      <c r="K36" s="40">
        <f t="shared" si="4"/>
        <v>2026</v>
      </c>
      <c r="L36" s="30">
        <f t="shared" si="5"/>
        <v>0</v>
      </c>
    </row>
    <row r="37" ht="15.75" customHeight="1">
      <c r="A37" s="21">
        <v>46050.0</v>
      </c>
      <c r="B37" s="23" t="s">
        <v>173</v>
      </c>
      <c r="C37" s="23" t="s">
        <v>47</v>
      </c>
      <c r="D37" s="30" t="str">
        <f>IF(C37&lt;&gt;"",VLOOKUP(C37,ENSEIGNES!$B$2:$D971,2,FALSE),"")</f>
        <v>Direct</v>
      </c>
      <c r="E37" s="30" t="str">
        <f>IF(C37&lt;&gt;"",VLOOKUP(C37,ENSEIGNES!$B$2:$D971,3,FALSE),"")</f>
        <v>CAP FRAIS</v>
      </c>
      <c r="F37" s="31">
        <v>1127.52</v>
      </c>
      <c r="G37" s="32">
        <f t="shared" si="1"/>
        <v>1189.5336</v>
      </c>
      <c r="H37" s="34">
        <f>IF(D37="Direct",PARAMETRES!$C$20,IF(D37="Centrale",PARAMETRES!$C$21,0))</f>
        <v>0.07</v>
      </c>
      <c r="I37" s="38">
        <f t="shared" si="2"/>
        <v>78.9264</v>
      </c>
      <c r="J37" s="40">
        <f t="shared" si="3"/>
        <v>1</v>
      </c>
      <c r="K37" s="40">
        <f t="shared" si="4"/>
        <v>2026</v>
      </c>
      <c r="L37" s="30">
        <f t="shared" si="5"/>
        <v>0</v>
      </c>
    </row>
    <row r="38" ht="15.75" customHeight="1">
      <c r="A38" s="21">
        <v>46050.0</v>
      </c>
      <c r="B38" s="23" t="s">
        <v>174</v>
      </c>
      <c r="C38" s="43" t="s">
        <v>92</v>
      </c>
      <c r="D38" s="30" t="str">
        <f>IF(C38&lt;&gt;"",VLOOKUP(C38,ENSEIGNES!$B$2:$D971,2,FALSE),"")</f>
        <v>Centrale</v>
      </c>
      <c r="E38" s="30" t="str">
        <f>IF(C38&lt;&gt;"",VLOOKUP(C38,ENSEIGNES!$B$2:$D971,3,FALSE),"")</f>
        <v>CAP FRAIS</v>
      </c>
      <c r="F38" s="31">
        <v>830.56</v>
      </c>
      <c r="G38" s="32">
        <f t="shared" si="1"/>
        <v>876.2408</v>
      </c>
      <c r="H38" s="34">
        <f>IF(D38="Direct",PARAMETRES!$C$20,IF(D38="Centrale",PARAMETRES!$C$21,0))</f>
        <v>0.05</v>
      </c>
      <c r="I38" s="38">
        <f t="shared" si="2"/>
        <v>41.528</v>
      </c>
      <c r="J38" s="40">
        <f t="shared" si="3"/>
        <v>1</v>
      </c>
      <c r="K38" s="40">
        <f t="shared" si="4"/>
        <v>2026</v>
      </c>
      <c r="L38" s="30">
        <f t="shared" si="5"/>
        <v>0</v>
      </c>
    </row>
    <row r="39" ht="15.75" customHeight="1">
      <c r="A39" s="21">
        <v>46052.0</v>
      </c>
      <c r="B39" s="23" t="s">
        <v>176</v>
      </c>
      <c r="C39" s="43" t="s">
        <v>91</v>
      </c>
      <c r="D39" s="30" t="str">
        <f>IF(C39&lt;&gt;"",VLOOKUP(C39,ENSEIGNES!$B$2:$D971,2,FALSE),"")</f>
        <v>Centrale</v>
      </c>
      <c r="E39" s="30" t="str">
        <f>IF(C39&lt;&gt;"",VLOOKUP(C39,ENSEIGNES!$B$2:$D971,3,FALSE),"")</f>
        <v>CAP FRAIS</v>
      </c>
      <c r="F39" s="31">
        <v>394.4</v>
      </c>
      <c r="G39" s="32">
        <f t="shared" si="1"/>
        <v>416.092</v>
      </c>
      <c r="H39" s="34">
        <f>IF(D39="Direct",PARAMETRES!$C$20,IF(D39="Centrale",PARAMETRES!$C$21,0))</f>
        <v>0.05</v>
      </c>
      <c r="I39" s="38">
        <f t="shared" si="2"/>
        <v>19.72</v>
      </c>
      <c r="J39" s="40">
        <f t="shared" si="3"/>
        <v>1</v>
      </c>
      <c r="K39" s="40">
        <f t="shared" si="4"/>
        <v>2026</v>
      </c>
      <c r="L39" s="30">
        <f t="shared" si="5"/>
        <v>0</v>
      </c>
    </row>
    <row r="40" ht="15.75" customHeight="1">
      <c r="A40" s="21">
        <v>46043.0</v>
      </c>
      <c r="B40" s="23" t="s">
        <v>177</v>
      </c>
      <c r="C40" s="23" t="s">
        <v>55</v>
      </c>
      <c r="D40" s="30" t="str">
        <f>IF(C40&lt;&gt;"",VLOOKUP(C40,ENSEIGNES!$B$2:$D971,2,FALSE),"")</f>
        <v>Direct</v>
      </c>
      <c r="E40" s="30" t="str">
        <f>IF(C40&lt;&gt;"",VLOOKUP(C40,ENSEIGNES!$B$2:$D971,3,FALSE),"")</f>
        <v>CAP FRAIS</v>
      </c>
      <c r="F40" s="31">
        <v>477.92</v>
      </c>
      <c r="G40" s="32">
        <f t="shared" si="1"/>
        <v>504.2056</v>
      </c>
      <c r="H40" s="34">
        <f>IF(D40="Direct",PARAMETRES!$C$20,IF(D40="Centrale",PARAMETRES!$C$21,0))</f>
        <v>0.07</v>
      </c>
      <c r="I40" s="38">
        <f t="shared" si="2"/>
        <v>33.4544</v>
      </c>
      <c r="J40" s="40">
        <f t="shared" si="3"/>
        <v>1</v>
      </c>
      <c r="K40" s="40">
        <f t="shared" si="4"/>
        <v>2026</v>
      </c>
      <c r="L40" s="30">
        <f t="shared" si="5"/>
        <v>1</v>
      </c>
    </row>
    <row r="41" ht="15.75" customHeight="1">
      <c r="A41" s="21">
        <v>46056.0</v>
      </c>
      <c r="B41" s="23" t="s">
        <v>178</v>
      </c>
      <c r="C41" s="23" t="s">
        <v>61</v>
      </c>
      <c r="D41" s="30" t="str">
        <f>IF(C41&lt;&gt;"",VLOOKUP(C41,ENSEIGNES!$B$2:$D971,2,FALSE),"")</f>
        <v>Direct</v>
      </c>
      <c r="E41" s="30" t="str">
        <f>IF(C41&lt;&gt;"",VLOOKUP(C41,ENSEIGNES!$B$2:$D971,3,FALSE),"")</f>
        <v>BROCARD</v>
      </c>
      <c r="F41" s="31">
        <v>412.96</v>
      </c>
      <c r="G41" s="32">
        <f t="shared" si="1"/>
        <v>435.6728</v>
      </c>
      <c r="H41" s="34">
        <f>IF(D41="Direct",PARAMETRES!$C$20,IF(D41="Centrale",PARAMETRES!$C$21,0))</f>
        <v>0.07</v>
      </c>
      <c r="I41" s="38">
        <f t="shared" si="2"/>
        <v>28.9072</v>
      </c>
      <c r="J41" s="40">
        <f t="shared" si="3"/>
        <v>2</v>
      </c>
      <c r="K41" s="40">
        <f t="shared" si="4"/>
        <v>2026</v>
      </c>
      <c r="L41" s="30">
        <f t="shared" si="5"/>
        <v>1</v>
      </c>
    </row>
    <row r="42" ht="15.75" customHeight="1">
      <c r="A42" s="21">
        <v>46057.0</v>
      </c>
      <c r="B42" s="23" t="s">
        <v>179</v>
      </c>
      <c r="C42" s="23" t="s">
        <v>62</v>
      </c>
      <c r="D42" s="30" t="str">
        <f>IF(C42&lt;&gt;"",VLOOKUP(C42,ENSEIGNES!$B$2:$D971,2,FALSE),"")</f>
        <v>Centrale</v>
      </c>
      <c r="E42" s="30" t="str">
        <f>IF(C42&lt;&gt;"",VLOOKUP(C42,ENSEIGNES!$B$2:$D971,3,FALSE),"")</f>
        <v>GMA GROUP</v>
      </c>
      <c r="F42" s="31">
        <v>886.4</v>
      </c>
      <c r="G42" s="32">
        <f t="shared" si="1"/>
        <v>935.152</v>
      </c>
      <c r="H42" s="34">
        <f>IF(D42="Direct",PARAMETRES!$C$20,IF(D42="Centrale",PARAMETRES!$C$21,0))</f>
        <v>0.05</v>
      </c>
      <c r="I42" s="38">
        <f t="shared" si="2"/>
        <v>44.32</v>
      </c>
      <c r="J42" s="40">
        <f t="shared" si="3"/>
        <v>2</v>
      </c>
      <c r="K42" s="40">
        <f t="shared" si="4"/>
        <v>2026</v>
      </c>
      <c r="L42" s="30">
        <f t="shared" si="5"/>
        <v>1</v>
      </c>
    </row>
    <row r="43" ht="15.75" customHeight="1">
      <c r="A43" s="21">
        <v>46055.0</v>
      </c>
      <c r="B43" s="23" t="s">
        <v>180</v>
      </c>
      <c r="C43" s="23" t="s">
        <v>62</v>
      </c>
      <c r="D43" s="30" t="str">
        <f>IF(C43&lt;&gt;"",VLOOKUP(C43,ENSEIGNES!$B$2:$D971,2,FALSE),"")</f>
        <v>Centrale</v>
      </c>
      <c r="E43" s="30" t="str">
        <f>IF(C43&lt;&gt;"",VLOOKUP(C43,ENSEIGNES!$B$2:$D971,3,FALSE),"")</f>
        <v>GMA GROUP</v>
      </c>
      <c r="F43" s="31">
        <v>1169.6</v>
      </c>
      <c r="G43" s="32">
        <f t="shared" si="1"/>
        <v>1233.928</v>
      </c>
      <c r="H43" s="34">
        <f>IF(D43="Direct",PARAMETRES!$C$20,IF(D43="Centrale",PARAMETRES!$C$21,0))</f>
        <v>0.05</v>
      </c>
      <c r="I43" s="38">
        <f t="shared" si="2"/>
        <v>58.48</v>
      </c>
      <c r="J43" s="40">
        <f t="shared" si="3"/>
        <v>2</v>
      </c>
      <c r="K43" s="40">
        <f t="shared" si="4"/>
        <v>2026</v>
      </c>
      <c r="L43" s="30">
        <f t="shared" si="5"/>
        <v>0</v>
      </c>
    </row>
    <row r="44" ht="15.75" customHeight="1">
      <c r="A44" s="21">
        <v>46048.0</v>
      </c>
      <c r="B44" s="23" t="s">
        <v>181</v>
      </c>
      <c r="C44" s="23" t="s">
        <v>62</v>
      </c>
      <c r="D44" s="30" t="str">
        <f>IF(C44&lt;&gt;"",VLOOKUP(C44,ENSEIGNES!$B$2:$D971,2,FALSE),"")</f>
        <v>Centrale</v>
      </c>
      <c r="E44" s="30" t="str">
        <f>IF(C44&lt;&gt;"",VLOOKUP(C44,ENSEIGNES!$B$2:$D971,3,FALSE),"")</f>
        <v>GMA GROUP</v>
      </c>
      <c r="F44" s="31">
        <v>1267.2</v>
      </c>
      <c r="G44" s="32">
        <f t="shared" si="1"/>
        <v>1336.896</v>
      </c>
      <c r="H44" s="34">
        <f>IF(D44="Direct",PARAMETRES!$C$20,IF(D44="Centrale",PARAMETRES!$C$21,0))</f>
        <v>0.05</v>
      </c>
      <c r="I44" s="38">
        <f t="shared" si="2"/>
        <v>63.36</v>
      </c>
      <c r="J44" s="40">
        <f t="shared" si="3"/>
        <v>1</v>
      </c>
      <c r="K44" s="40">
        <f t="shared" si="4"/>
        <v>2026</v>
      </c>
      <c r="L44" s="30">
        <f t="shared" si="5"/>
        <v>1</v>
      </c>
    </row>
    <row r="45" ht="15.75" customHeight="1">
      <c r="A45" s="21">
        <v>46043.0</v>
      </c>
      <c r="B45" s="23" t="s">
        <v>182</v>
      </c>
      <c r="C45" s="23" t="s">
        <v>62</v>
      </c>
      <c r="D45" s="30" t="str">
        <f>IF(C45&lt;&gt;"",VLOOKUP(C45,ENSEIGNES!$B$2:$D971,2,FALSE),"")</f>
        <v>Centrale</v>
      </c>
      <c r="E45" s="30" t="str">
        <f>IF(C45&lt;&gt;"",VLOOKUP(C45,ENSEIGNES!$B$2:$D971,3,FALSE),"")</f>
        <v>GMA GROUP</v>
      </c>
      <c r="F45" s="31">
        <v>1425.6</v>
      </c>
      <c r="G45" s="32">
        <f t="shared" si="1"/>
        <v>1504.008</v>
      </c>
      <c r="H45" s="34">
        <f>IF(D45="Direct",PARAMETRES!$C$20,IF(D45="Centrale",PARAMETRES!$C$21,0))</f>
        <v>0.05</v>
      </c>
      <c r="I45" s="38">
        <f t="shared" si="2"/>
        <v>71.28</v>
      </c>
      <c r="J45" s="40">
        <f t="shared" si="3"/>
        <v>1</v>
      </c>
      <c r="K45" s="40">
        <f t="shared" si="4"/>
        <v>2026</v>
      </c>
      <c r="L45" s="30">
        <f t="shared" si="5"/>
        <v>0</v>
      </c>
    </row>
    <row r="46" ht="15.75" customHeight="1">
      <c r="A46" s="21">
        <v>46041.0</v>
      </c>
      <c r="B46" s="23" t="s">
        <v>183</v>
      </c>
      <c r="C46" s="23" t="s">
        <v>62</v>
      </c>
      <c r="D46" s="30" t="str">
        <f>IF(C46&lt;&gt;"",VLOOKUP(C46,ENSEIGNES!$B$2:$D971,2,FALSE),"")</f>
        <v>Centrale</v>
      </c>
      <c r="E46" s="30" t="str">
        <f>IF(C46&lt;&gt;"",VLOOKUP(C46,ENSEIGNES!$B$2:$D971,3,FALSE),"")</f>
        <v>GMA GROUP</v>
      </c>
      <c r="F46" s="31">
        <v>633.6</v>
      </c>
      <c r="G46" s="32">
        <f t="shared" si="1"/>
        <v>668.448</v>
      </c>
      <c r="H46" s="34">
        <f>IF(D46="Direct",PARAMETRES!$C$20,IF(D46="Centrale",PARAMETRES!$C$21,0))</f>
        <v>0.05</v>
      </c>
      <c r="I46" s="38">
        <f t="shared" si="2"/>
        <v>31.68</v>
      </c>
      <c r="J46" s="40">
        <f t="shared" si="3"/>
        <v>1</v>
      </c>
      <c r="K46" s="40">
        <f t="shared" si="4"/>
        <v>2026</v>
      </c>
      <c r="L46" s="30">
        <f t="shared" si="5"/>
        <v>0</v>
      </c>
    </row>
    <row r="47" ht="15.75" customHeight="1">
      <c r="A47" s="21">
        <v>46036.0</v>
      </c>
      <c r="B47" s="23" t="s">
        <v>184</v>
      </c>
      <c r="C47" s="23" t="s">
        <v>62</v>
      </c>
      <c r="D47" s="30" t="str">
        <f>IF(C47&lt;&gt;"",VLOOKUP(C47,ENSEIGNES!$B$2:$D971,2,FALSE),"")</f>
        <v>Centrale</v>
      </c>
      <c r="E47" s="30" t="str">
        <f>IF(C47&lt;&gt;"",VLOOKUP(C47,ENSEIGNES!$B$2:$D971,3,FALSE),"")</f>
        <v>GMA GROUP</v>
      </c>
      <c r="F47" s="31">
        <v>1486.4</v>
      </c>
      <c r="G47" s="32"/>
      <c r="H47" s="34">
        <f>IF(D47="Direct",PARAMETRES!$C$20,IF(D47="Centrale",PARAMETRES!$C$21,0))</f>
        <v>0.05</v>
      </c>
      <c r="I47" s="38">
        <f t="shared" si="2"/>
        <v>74.32</v>
      </c>
      <c r="J47" s="40">
        <f t="shared" si="3"/>
        <v>1</v>
      </c>
      <c r="K47" s="40">
        <f t="shared" si="4"/>
        <v>2026</v>
      </c>
      <c r="L47" s="30">
        <f t="shared" si="5"/>
        <v>0</v>
      </c>
    </row>
    <row r="48" ht="15.75" customHeight="1">
      <c r="A48" s="21">
        <v>46027.0</v>
      </c>
      <c r="B48" s="23" t="s">
        <v>185</v>
      </c>
      <c r="C48" s="23" t="s">
        <v>62</v>
      </c>
      <c r="D48" s="30" t="str">
        <f>IF(C48&lt;&gt;"",VLOOKUP(C48,ENSEIGNES!$B$2:$D971,2,FALSE),"")</f>
        <v>Centrale</v>
      </c>
      <c r="E48" s="30" t="str">
        <f>IF(C48&lt;&gt;"",VLOOKUP(C48,ENSEIGNES!$B$2:$D971,3,FALSE),"")</f>
        <v>GMA GROUP</v>
      </c>
      <c r="F48" s="31">
        <v>1425.6</v>
      </c>
      <c r="G48" s="32"/>
      <c r="H48" s="34">
        <f>IF(D48="Direct",PARAMETRES!$C$20,IF(D48="Centrale",PARAMETRES!$C$21,0))</f>
        <v>0.05</v>
      </c>
      <c r="I48" s="38">
        <f t="shared" si="2"/>
        <v>71.28</v>
      </c>
      <c r="J48" s="40">
        <f t="shared" si="3"/>
        <v>1</v>
      </c>
      <c r="K48" s="40">
        <f t="shared" si="4"/>
        <v>2026</v>
      </c>
      <c r="L48" s="30">
        <f t="shared" si="5"/>
        <v>0</v>
      </c>
    </row>
    <row r="49" ht="15.75" customHeight="1">
      <c r="A49" s="21">
        <v>46051.0</v>
      </c>
      <c r="B49" s="23" t="s">
        <v>186</v>
      </c>
      <c r="C49" s="43" t="s">
        <v>37</v>
      </c>
      <c r="D49" s="30" t="str">
        <f>IF(C49&lt;&gt;"",VLOOKUP(C49,ENSEIGNES!$B$2:$D971,2,FALSE),"")</f>
        <v>Centrale</v>
      </c>
      <c r="E49" s="30" t="str">
        <f>IF(C49&lt;&gt;"",VLOOKUP(C49,ENSEIGNES!$B$2:$D971,3,FALSE),"")</f>
        <v>CAP FRAIS</v>
      </c>
      <c r="F49" s="31">
        <v>334.64</v>
      </c>
      <c r="G49" s="32">
        <f t="shared" ref="G49:G94" si="6">F49*(1+5.5%)</f>
        <v>353.0452</v>
      </c>
      <c r="H49" s="34">
        <f>IF(D49="Direct",PARAMETRES!$C$20,IF(D49="Centrale",PARAMETRES!$C$21,0))</f>
        <v>0.05</v>
      </c>
      <c r="I49" s="38">
        <f t="shared" si="2"/>
        <v>16.732</v>
      </c>
      <c r="J49" s="40">
        <f t="shared" si="3"/>
        <v>1</v>
      </c>
      <c r="K49" s="40">
        <f t="shared" si="4"/>
        <v>2026</v>
      </c>
      <c r="L49" s="30">
        <f t="shared" si="5"/>
        <v>1</v>
      </c>
    </row>
    <row r="50" ht="15.75" customHeight="1">
      <c r="A50" s="21">
        <v>46049.0</v>
      </c>
      <c r="B50" s="23" t="s">
        <v>187</v>
      </c>
      <c r="C50" s="43" t="s">
        <v>37</v>
      </c>
      <c r="D50" s="30" t="str">
        <f>IF(C50&lt;&gt;"",VLOOKUP(C50,ENSEIGNES!$B$2:$D971,2,FALSE),"")</f>
        <v>Centrale</v>
      </c>
      <c r="E50" s="30" t="str">
        <f>IF(C50&lt;&gt;"",VLOOKUP(C50,ENSEIGNES!$B$2:$D971,3,FALSE),"")</f>
        <v>CAP FRAIS</v>
      </c>
      <c r="F50" s="31">
        <v>473.12</v>
      </c>
      <c r="G50" s="32">
        <f t="shared" si="6"/>
        <v>499.1416</v>
      </c>
      <c r="H50" s="34">
        <f>IF(D50="Direct",PARAMETRES!$C$20,IF(D50="Centrale",PARAMETRES!$C$21,0))</f>
        <v>0.05</v>
      </c>
      <c r="I50" s="38">
        <f t="shared" si="2"/>
        <v>23.656</v>
      </c>
      <c r="J50" s="40">
        <f t="shared" si="3"/>
        <v>1</v>
      </c>
      <c r="K50" s="40">
        <f t="shared" si="4"/>
        <v>2026</v>
      </c>
      <c r="L50" s="30">
        <f t="shared" si="5"/>
        <v>0</v>
      </c>
    </row>
    <row r="51" ht="15.75" customHeight="1">
      <c r="A51" s="21">
        <v>46044.0</v>
      </c>
      <c r="B51" s="23" t="s">
        <v>188</v>
      </c>
      <c r="C51" s="43" t="s">
        <v>37</v>
      </c>
      <c r="D51" s="30" t="str">
        <f>IF(C51&lt;&gt;"",VLOOKUP(C51,ENSEIGNES!$B$2:$D971,2,FALSE),"")</f>
        <v>Centrale</v>
      </c>
      <c r="E51" s="30" t="str">
        <f>IF(C51&lt;&gt;"",VLOOKUP(C51,ENSEIGNES!$B$2:$D971,3,FALSE),"")</f>
        <v>CAP FRAIS</v>
      </c>
      <c r="F51" s="31">
        <v>461.58</v>
      </c>
      <c r="G51" s="32">
        <f t="shared" si="6"/>
        <v>486.9669</v>
      </c>
      <c r="H51" s="34">
        <f>IF(D51="Direct",PARAMETRES!$C$20,IF(D51="Centrale",PARAMETRES!$C$21,0))</f>
        <v>0.05</v>
      </c>
      <c r="I51" s="38">
        <f t="shared" si="2"/>
        <v>23.079</v>
      </c>
      <c r="J51" s="40">
        <f t="shared" si="3"/>
        <v>1</v>
      </c>
      <c r="K51" s="40">
        <f t="shared" si="4"/>
        <v>2026</v>
      </c>
      <c r="L51" s="30">
        <f t="shared" si="5"/>
        <v>0</v>
      </c>
    </row>
    <row r="52" ht="15.75" customHeight="1">
      <c r="A52" s="21">
        <v>46042.0</v>
      </c>
      <c r="B52" s="23" t="s">
        <v>189</v>
      </c>
      <c r="C52" s="43" t="s">
        <v>37</v>
      </c>
      <c r="D52" s="30" t="str">
        <f>IF(C52&lt;&gt;"",VLOOKUP(C52,ENSEIGNES!$B$2:$D971,2,FALSE),"")</f>
        <v>Centrale</v>
      </c>
      <c r="E52" s="30" t="str">
        <f>IF(C52&lt;&gt;"",VLOOKUP(C52,ENSEIGNES!$B$2:$D971,3,FALSE),"")</f>
        <v>CAP FRAIS</v>
      </c>
      <c r="F52" s="31">
        <v>438.5</v>
      </c>
      <c r="G52" s="32">
        <f t="shared" si="6"/>
        <v>462.6175</v>
      </c>
      <c r="H52" s="34">
        <f>IF(D52="Direct",PARAMETRES!$C$20,IF(D52="Centrale",PARAMETRES!$C$21,0))</f>
        <v>0.05</v>
      </c>
      <c r="I52" s="38">
        <f t="shared" si="2"/>
        <v>21.925</v>
      </c>
      <c r="J52" s="40">
        <f t="shared" si="3"/>
        <v>1</v>
      </c>
      <c r="K52" s="40">
        <f t="shared" si="4"/>
        <v>2026</v>
      </c>
      <c r="L52" s="30">
        <f t="shared" si="5"/>
        <v>0</v>
      </c>
    </row>
    <row r="53" ht="15.75" customHeight="1">
      <c r="A53" s="21">
        <v>46035.0</v>
      </c>
      <c r="B53" s="23" t="s">
        <v>190</v>
      </c>
      <c r="C53" s="43" t="s">
        <v>37</v>
      </c>
      <c r="D53" s="30" t="str">
        <f>IF(C53&lt;&gt;"",VLOOKUP(C53,ENSEIGNES!$B$2:$D971,2,FALSE),"")</f>
        <v>Centrale</v>
      </c>
      <c r="E53" s="30" t="str">
        <f>IF(C53&lt;&gt;"",VLOOKUP(C53,ENSEIGNES!$B$2:$D971,3,FALSE),"")</f>
        <v>CAP FRAIS</v>
      </c>
      <c r="F53" s="31">
        <v>296.18</v>
      </c>
      <c r="G53" s="32">
        <f t="shared" si="6"/>
        <v>312.4699</v>
      </c>
      <c r="H53" s="34">
        <f>IF(D53="Direct",PARAMETRES!$C$20,IF(D53="Centrale",PARAMETRES!$C$21,0))</f>
        <v>0.05</v>
      </c>
      <c r="I53" s="38">
        <f t="shared" si="2"/>
        <v>14.809</v>
      </c>
      <c r="J53" s="40">
        <f t="shared" si="3"/>
        <v>1</v>
      </c>
      <c r="K53" s="40">
        <f t="shared" si="4"/>
        <v>2026</v>
      </c>
      <c r="L53" s="30">
        <f t="shared" si="5"/>
        <v>0</v>
      </c>
    </row>
    <row r="54" ht="15.75" customHeight="1">
      <c r="A54" s="21">
        <v>46031.0</v>
      </c>
      <c r="B54" s="23" t="s">
        <v>191</v>
      </c>
      <c r="C54" s="43" t="s">
        <v>37</v>
      </c>
      <c r="D54" s="30" t="str">
        <f>IF(C54&lt;&gt;"",VLOOKUP(C54,ENSEIGNES!$B$2:$D971,2,FALSE),"")</f>
        <v>Centrale</v>
      </c>
      <c r="E54" s="30" t="str">
        <f>IF(C54&lt;&gt;"",VLOOKUP(C54,ENSEIGNES!$B$2:$D971,3,FALSE),"")</f>
        <v>CAP FRAIS</v>
      </c>
      <c r="F54" s="31">
        <v>773.14</v>
      </c>
      <c r="G54" s="32">
        <f t="shared" si="6"/>
        <v>815.6627</v>
      </c>
      <c r="H54" s="34">
        <f>IF(D54="Direct",PARAMETRES!$C$20,IF(D54="Centrale",PARAMETRES!$C$21,0))</f>
        <v>0.05</v>
      </c>
      <c r="I54" s="38">
        <f t="shared" si="2"/>
        <v>38.657</v>
      </c>
      <c r="J54" s="40">
        <f t="shared" si="3"/>
        <v>1</v>
      </c>
      <c r="K54" s="40">
        <f t="shared" si="4"/>
        <v>2026</v>
      </c>
      <c r="L54" s="30">
        <f t="shared" si="5"/>
        <v>0</v>
      </c>
    </row>
    <row r="55" ht="15.75" customHeight="1">
      <c r="A55" s="21">
        <v>46028.0</v>
      </c>
      <c r="B55" s="23" t="s">
        <v>192</v>
      </c>
      <c r="C55" s="43" t="s">
        <v>37</v>
      </c>
      <c r="D55" s="30" t="str">
        <f>IF(C55&lt;&gt;"",VLOOKUP(C55,ENSEIGNES!$B$2:$D971,2,FALSE),"")</f>
        <v>Centrale</v>
      </c>
      <c r="E55" s="30" t="str">
        <f>IF(C55&lt;&gt;"",VLOOKUP(C55,ENSEIGNES!$B$2:$D971,3,FALSE),"")</f>
        <v>CAP FRAIS</v>
      </c>
      <c r="F55" s="31">
        <v>419.27</v>
      </c>
      <c r="G55" s="32">
        <f t="shared" si="6"/>
        <v>442.32985</v>
      </c>
      <c r="H55" s="34">
        <f>IF(D55="Direct",PARAMETRES!$C$20,IF(D55="Centrale",PARAMETRES!$C$21,0))</f>
        <v>0.05</v>
      </c>
      <c r="I55" s="38">
        <f t="shared" si="2"/>
        <v>20.9635</v>
      </c>
      <c r="J55" s="40">
        <f t="shared" si="3"/>
        <v>1</v>
      </c>
      <c r="K55" s="40">
        <f t="shared" si="4"/>
        <v>2026</v>
      </c>
      <c r="L55" s="30">
        <f t="shared" si="5"/>
        <v>0</v>
      </c>
    </row>
    <row r="56" ht="15.75" customHeight="1">
      <c r="A56" s="21">
        <v>46051.0</v>
      </c>
      <c r="B56" s="23" t="s">
        <v>193</v>
      </c>
      <c r="C56" s="23" t="s">
        <v>64</v>
      </c>
      <c r="D56" s="30" t="str">
        <f>IF(C56&lt;&gt;"",VLOOKUP(C56,ENSEIGNES!$B$2:$D971,2,FALSE),"")</f>
        <v>Direct</v>
      </c>
      <c r="E56" s="30" t="str">
        <f>IF(C56&lt;&gt;"",VLOOKUP(C56,ENSEIGNES!$B$2:$D971,3,FALSE),"")</f>
        <v>SCHLESSER</v>
      </c>
      <c r="F56" s="31">
        <v>375.84</v>
      </c>
      <c r="G56" s="32">
        <f t="shared" si="6"/>
        <v>396.5112</v>
      </c>
      <c r="H56" s="34">
        <f>IF(D56="Direct",PARAMETRES!$C$20,IF(D56="Centrale",PARAMETRES!$C$21,0))</f>
        <v>0.07</v>
      </c>
      <c r="I56" s="38">
        <f t="shared" si="2"/>
        <v>26.3088</v>
      </c>
      <c r="J56" s="40">
        <f t="shared" si="3"/>
        <v>1</v>
      </c>
      <c r="K56" s="40">
        <f t="shared" si="4"/>
        <v>2026</v>
      </c>
      <c r="L56" s="30">
        <f t="shared" si="5"/>
        <v>1</v>
      </c>
    </row>
    <row r="57" ht="15.75" customHeight="1">
      <c r="A57" s="21">
        <v>46044.0</v>
      </c>
      <c r="B57" s="23" t="s">
        <v>194</v>
      </c>
      <c r="C57" s="23" t="s">
        <v>66</v>
      </c>
      <c r="D57" s="30" t="str">
        <f>IF(C57&lt;&gt;"",VLOOKUP(C57,ENSEIGNES!$B$2:$D971,2,FALSE),"")</f>
        <v>Direct</v>
      </c>
      <c r="E57" s="30" t="str">
        <f>IF(C57&lt;&gt;"",VLOOKUP(C57,ENSEIGNES!$B$2:$D971,3,FALSE),"")</f>
        <v>SCHLESSER</v>
      </c>
      <c r="F57" s="31">
        <v>348.0</v>
      </c>
      <c r="G57" s="32">
        <f t="shared" si="6"/>
        <v>367.14</v>
      </c>
      <c r="H57" s="34">
        <f>IF(D57="Direct",PARAMETRES!$C$20,IF(D57="Centrale",PARAMETRES!$C$21,0))</f>
        <v>0.07</v>
      </c>
      <c r="I57" s="38">
        <f t="shared" si="2"/>
        <v>24.36</v>
      </c>
      <c r="J57" s="40">
        <f t="shared" si="3"/>
        <v>1</v>
      </c>
      <c r="K57" s="40">
        <f t="shared" si="4"/>
        <v>2026</v>
      </c>
      <c r="L57" s="30">
        <f t="shared" si="5"/>
        <v>1</v>
      </c>
    </row>
    <row r="58" ht="15.75" customHeight="1">
      <c r="A58" s="21">
        <v>46039.0</v>
      </c>
      <c r="B58" s="23" t="s">
        <v>196</v>
      </c>
      <c r="C58" s="23" t="s">
        <v>67</v>
      </c>
      <c r="D58" s="30" t="str">
        <f>IF(C58&lt;&gt;"",VLOOKUP(C58,ENSEIGNES!$B$2:$D971,2,FALSE),"")</f>
        <v>Direct</v>
      </c>
      <c r="E58" s="30" t="str">
        <f>IF(C58&lt;&gt;"",VLOOKUP(C58,ENSEIGNES!$B$2:$D971,3,FALSE),"")</f>
        <v>SCHLESSER</v>
      </c>
      <c r="F58" s="31">
        <v>320.16</v>
      </c>
      <c r="G58" s="32">
        <f t="shared" si="6"/>
        <v>337.7688</v>
      </c>
      <c r="H58" s="34">
        <f>IF(D58="Direct",PARAMETRES!$C$20,IF(D58="Centrale",PARAMETRES!$C$21,0))</f>
        <v>0.07</v>
      </c>
      <c r="I58" s="38">
        <f t="shared" si="2"/>
        <v>22.4112</v>
      </c>
      <c r="J58" s="40">
        <f t="shared" si="3"/>
        <v>1</v>
      </c>
      <c r="K58" s="40">
        <f t="shared" si="4"/>
        <v>2026</v>
      </c>
      <c r="L58" s="30">
        <f t="shared" si="5"/>
        <v>1</v>
      </c>
    </row>
    <row r="59" ht="15.75" customHeight="1">
      <c r="A59" s="21">
        <v>46039.0</v>
      </c>
      <c r="B59" s="23" t="s">
        <v>199</v>
      </c>
      <c r="C59" s="23" t="s">
        <v>68</v>
      </c>
      <c r="D59" s="30" t="str">
        <f>IF(C59&lt;&gt;"",VLOOKUP(C59,ENSEIGNES!$B$2:$D971,2,FALSE),"")</f>
        <v>Direct</v>
      </c>
      <c r="E59" s="30" t="str">
        <f>IF(C59&lt;&gt;"",VLOOKUP(C59,ENSEIGNES!$B$2:$D971,3,FALSE),"")</f>
        <v>SCHLESSER</v>
      </c>
      <c r="F59" s="31">
        <v>320.16</v>
      </c>
      <c r="G59" s="32">
        <f t="shared" si="6"/>
        <v>337.7688</v>
      </c>
      <c r="H59" s="34">
        <f>IF(D59="Direct",PARAMETRES!$C$20,IF(D59="Centrale",PARAMETRES!$C$21,0))</f>
        <v>0.07</v>
      </c>
      <c r="I59" s="38">
        <f t="shared" si="2"/>
        <v>22.4112</v>
      </c>
      <c r="J59" s="40">
        <f t="shared" si="3"/>
        <v>1</v>
      </c>
      <c r="K59" s="40">
        <f t="shared" si="4"/>
        <v>2026</v>
      </c>
      <c r="L59" s="30">
        <f t="shared" si="5"/>
        <v>1</v>
      </c>
    </row>
    <row r="60" ht="15.75" customHeight="1">
      <c r="A60" s="21">
        <v>46024.0</v>
      </c>
      <c r="B60" s="23" t="s">
        <v>200</v>
      </c>
      <c r="C60" s="43" t="s">
        <v>7</v>
      </c>
      <c r="D60" s="30" t="str">
        <f>IF(C60&lt;&gt;"",VLOOKUP(C60,ENSEIGNES!$B$2:$D971,2,FALSE),"")</f>
        <v>Centrale</v>
      </c>
      <c r="E60" s="30" t="str">
        <f>IF(C60&lt;&gt;"",VLOOKUP(C60,ENSEIGNES!$B$2:$D971,3,FALSE),"")</f>
        <v>BROCARD</v>
      </c>
      <c r="F60" s="31">
        <v>504.04</v>
      </c>
      <c r="G60" s="32">
        <f t="shared" si="6"/>
        <v>531.7622</v>
      </c>
      <c r="H60" s="34">
        <f>IF(D60="Direct",PARAMETRES!$C$20,IF(D60="Centrale",PARAMETRES!$C$21,0))</f>
        <v>0.05</v>
      </c>
      <c r="I60" s="38">
        <f t="shared" si="2"/>
        <v>25.202</v>
      </c>
      <c r="J60" s="40">
        <f t="shared" si="3"/>
        <v>1</v>
      </c>
      <c r="K60" s="40">
        <f t="shared" si="4"/>
        <v>2026</v>
      </c>
      <c r="L60" s="30">
        <f t="shared" si="5"/>
        <v>1</v>
      </c>
    </row>
    <row r="61" ht="15.75" customHeight="1">
      <c r="A61" s="21">
        <v>46024.0</v>
      </c>
      <c r="B61" s="23" t="s">
        <v>201</v>
      </c>
      <c r="C61" s="43" t="s">
        <v>7</v>
      </c>
      <c r="D61" s="30" t="str">
        <f>IF(C61&lt;&gt;"",VLOOKUP(C61,ENSEIGNES!$B$2:$D971,2,FALSE),"")</f>
        <v>Centrale</v>
      </c>
      <c r="E61" s="30" t="str">
        <f>IF(C61&lt;&gt;"",VLOOKUP(C61,ENSEIGNES!$B$2:$D971,3,FALSE),"")</f>
        <v>BROCARD</v>
      </c>
      <c r="F61" s="31">
        <v>387.73</v>
      </c>
      <c r="G61" s="32">
        <f t="shared" si="6"/>
        <v>409.05515</v>
      </c>
      <c r="H61" s="34">
        <f>IF(D61="Direct",PARAMETRES!$C$20,IF(D61="Centrale",PARAMETRES!$C$21,0))</f>
        <v>0.05</v>
      </c>
      <c r="I61" s="38">
        <f t="shared" si="2"/>
        <v>19.3865</v>
      </c>
      <c r="J61" s="40">
        <f t="shared" si="3"/>
        <v>1</v>
      </c>
      <c r="K61" s="40">
        <f t="shared" si="4"/>
        <v>2026</v>
      </c>
      <c r="L61" s="30">
        <f t="shared" si="5"/>
        <v>0</v>
      </c>
    </row>
    <row r="62" ht="15.75" customHeight="1">
      <c r="A62" s="21">
        <v>46027.0</v>
      </c>
      <c r="B62" s="23" t="s">
        <v>202</v>
      </c>
      <c r="C62" s="43" t="s">
        <v>7</v>
      </c>
      <c r="D62" s="30" t="str">
        <f>IF(C62&lt;&gt;"",VLOOKUP(C62,ENSEIGNES!$B$2:$D971,2,FALSE),"")</f>
        <v>Centrale</v>
      </c>
      <c r="E62" s="30" t="str">
        <f>IF(C62&lt;&gt;"",VLOOKUP(C62,ENSEIGNES!$B$2:$D971,3,FALSE),"")</f>
        <v>BROCARD</v>
      </c>
      <c r="F62" s="31">
        <v>258.48</v>
      </c>
      <c r="G62" s="32">
        <f t="shared" si="6"/>
        <v>272.6964</v>
      </c>
      <c r="H62" s="34">
        <f>IF(D62="Direct",PARAMETRES!$C$20,IF(D62="Centrale",PARAMETRES!$C$21,0))</f>
        <v>0.05</v>
      </c>
      <c r="I62" s="38">
        <f t="shared" si="2"/>
        <v>12.924</v>
      </c>
      <c r="J62" s="40">
        <f t="shared" si="3"/>
        <v>1</v>
      </c>
      <c r="K62" s="40">
        <f t="shared" si="4"/>
        <v>2026</v>
      </c>
      <c r="L62" s="30">
        <f t="shared" si="5"/>
        <v>0</v>
      </c>
    </row>
    <row r="63" ht="15.75" customHeight="1">
      <c r="A63" s="21">
        <v>46027.0</v>
      </c>
      <c r="B63" s="23" t="s">
        <v>203</v>
      </c>
      <c r="C63" s="43" t="s">
        <v>7</v>
      </c>
      <c r="D63" s="30" t="str">
        <f>IF(C63&lt;&gt;"",VLOOKUP(C63,ENSEIGNES!$B$2:$D971,2,FALSE),"")</f>
        <v>Centrale</v>
      </c>
      <c r="E63" s="30" t="str">
        <f>IF(C63&lt;&gt;"",VLOOKUP(C63,ENSEIGNES!$B$2:$D971,3,FALSE),"")</f>
        <v>BROCARD</v>
      </c>
      <c r="F63" s="31">
        <v>249.87</v>
      </c>
      <c r="G63" s="32">
        <f t="shared" si="6"/>
        <v>263.61285</v>
      </c>
      <c r="H63" s="34">
        <f>IF(D63="Direct",PARAMETRES!$C$20,IF(D63="Centrale",PARAMETRES!$C$21,0))</f>
        <v>0.05</v>
      </c>
      <c r="I63" s="38">
        <f t="shared" si="2"/>
        <v>12.4935</v>
      </c>
      <c r="J63" s="40">
        <f t="shared" si="3"/>
        <v>1</v>
      </c>
      <c r="K63" s="40">
        <f t="shared" si="4"/>
        <v>2026</v>
      </c>
      <c r="L63" s="30">
        <f t="shared" si="5"/>
        <v>0</v>
      </c>
    </row>
    <row r="64" ht="15.75" customHeight="1">
      <c r="A64" s="21">
        <v>46027.0</v>
      </c>
      <c r="B64" s="23" t="s">
        <v>204</v>
      </c>
      <c r="C64" s="43" t="s">
        <v>7</v>
      </c>
      <c r="D64" s="30" t="str">
        <f>IF(C64&lt;&gt;"",VLOOKUP(C64,ENSEIGNES!$B$2:$D971,2,FALSE),"")</f>
        <v>Centrale</v>
      </c>
      <c r="E64" s="30" t="str">
        <f>IF(C64&lt;&gt;"",VLOOKUP(C64,ENSEIGNES!$B$2:$D971,3,FALSE),"")</f>
        <v>BROCARD</v>
      </c>
      <c r="F64" s="31">
        <v>176.63</v>
      </c>
      <c r="G64" s="32">
        <f t="shared" si="6"/>
        <v>186.34465</v>
      </c>
      <c r="H64" s="34">
        <f>IF(D64="Direct",PARAMETRES!$C$20,IF(D64="Centrale",PARAMETRES!$C$21,0))</f>
        <v>0.05</v>
      </c>
      <c r="I64" s="38">
        <f t="shared" si="2"/>
        <v>8.8315</v>
      </c>
      <c r="J64" s="40">
        <f t="shared" si="3"/>
        <v>1</v>
      </c>
      <c r="K64" s="40">
        <f t="shared" si="4"/>
        <v>2026</v>
      </c>
      <c r="L64" s="30">
        <f t="shared" si="5"/>
        <v>0</v>
      </c>
    </row>
    <row r="65" ht="15.75" customHeight="1">
      <c r="A65" s="21">
        <v>46030.0</v>
      </c>
      <c r="B65" s="23" t="s">
        <v>206</v>
      </c>
      <c r="C65" s="43" t="s">
        <v>7</v>
      </c>
      <c r="D65" s="30" t="str">
        <f>IF(C65&lt;&gt;"",VLOOKUP(C65,ENSEIGNES!$B$2:$D971,2,FALSE),"")</f>
        <v>Centrale</v>
      </c>
      <c r="E65" s="30" t="str">
        <f>IF(C65&lt;&gt;"",VLOOKUP(C65,ENSEIGNES!$B$2:$D971,3,FALSE),"")</f>
        <v>BROCARD</v>
      </c>
      <c r="F65" s="31">
        <v>715.14</v>
      </c>
      <c r="G65" s="32">
        <f t="shared" si="6"/>
        <v>754.4727</v>
      </c>
      <c r="H65" s="34">
        <f>IF(D65="Direct",PARAMETRES!$C$20,IF(D65="Centrale",PARAMETRES!$C$21,0))</f>
        <v>0.05</v>
      </c>
      <c r="I65" s="38">
        <f t="shared" si="2"/>
        <v>35.757</v>
      </c>
      <c r="J65" s="40">
        <f t="shared" si="3"/>
        <v>1</v>
      </c>
      <c r="K65" s="40">
        <f t="shared" si="4"/>
        <v>2026</v>
      </c>
      <c r="L65" s="30">
        <f t="shared" si="5"/>
        <v>0</v>
      </c>
    </row>
    <row r="66" ht="15.75" customHeight="1">
      <c r="A66" s="21">
        <v>46030.0</v>
      </c>
      <c r="B66" s="23" t="s">
        <v>207</v>
      </c>
      <c r="C66" s="43" t="s">
        <v>7</v>
      </c>
      <c r="D66" s="30" t="str">
        <f>IF(C66&lt;&gt;"",VLOOKUP(C66,ENSEIGNES!$B$2:$D971,2,FALSE),"")</f>
        <v>Centrale</v>
      </c>
      <c r="E66" s="30" t="str">
        <f>IF(C66&lt;&gt;"",VLOOKUP(C66,ENSEIGNES!$B$2:$D971,3,FALSE),"")</f>
        <v>BROCARD</v>
      </c>
      <c r="F66" s="31">
        <v>267.1</v>
      </c>
      <c r="G66" s="32">
        <f t="shared" si="6"/>
        <v>281.7905</v>
      </c>
      <c r="H66" s="34">
        <f>IF(D66="Direct",PARAMETRES!$C$20,IF(D66="Centrale",PARAMETRES!$C$21,0))</f>
        <v>0.05</v>
      </c>
      <c r="I66" s="38">
        <f t="shared" si="2"/>
        <v>13.355</v>
      </c>
      <c r="J66" s="40">
        <f t="shared" si="3"/>
        <v>1</v>
      </c>
      <c r="K66" s="40">
        <f t="shared" si="4"/>
        <v>2026</v>
      </c>
      <c r="L66" s="30">
        <f t="shared" si="5"/>
        <v>0</v>
      </c>
    </row>
    <row r="67" ht="15.75" customHeight="1">
      <c r="A67" s="21">
        <v>46031.0</v>
      </c>
      <c r="B67" s="23" t="s">
        <v>208</v>
      </c>
      <c r="C67" s="43" t="s">
        <v>7</v>
      </c>
      <c r="D67" s="30" t="str">
        <f>IF(C67&lt;&gt;"",VLOOKUP(C67,ENSEIGNES!$B$2:$D971,2,FALSE),"")</f>
        <v>Centrale</v>
      </c>
      <c r="E67" s="30" t="str">
        <f>IF(C67&lt;&gt;"",VLOOKUP(C67,ENSEIGNES!$B$2:$D971,3,FALSE),"")</f>
        <v>BROCARD</v>
      </c>
      <c r="F67" s="31">
        <v>370.49</v>
      </c>
      <c r="G67" s="32">
        <f t="shared" si="6"/>
        <v>390.86695</v>
      </c>
      <c r="H67" s="34">
        <f>IF(D67="Direct",PARAMETRES!$C$20,IF(D67="Centrale",PARAMETRES!$C$21,0))</f>
        <v>0.05</v>
      </c>
      <c r="I67" s="38">
        <f t="shared" si="2"/>
        <v>18.5245</v>
      </c>
      <c r="J67" s="40">
        <f t="shared" si="3"/>
        <v>1</v>
      </c>
      <c r="K67" s="40">
        <f t="shared" si="4"/>
        <v>2026</v>
      </c>
      <c r="L67" s="30">
        <f t="shared" si="5"/>
        <v>0</v>
      </c>
    </row>
    <row r="68" ht="15.75" customHeight="1">
      <c r="A68" s="21">
        <v>46034.0</v>
      </c>
      <c r="B68" s="23" t="s">
        <v>209</v>
      </c>
      <c r="C68" s="43" t="s">
        <v>7</v>
      </c>
      <c r="D68" s="30" t="str">
        <f>IF(C68&lt;&gt;"",VLOOKUP(C68,ENSEIGNES!$B$2:$D971,2,FALSE),"")</f>
        <v>Centrale</v>
      </c>
      <c r="E68" s="30" t="str">
        <f>IF(C68&lt;&gt;"",VLOOKUP(C68,ENSEIGNES!$B$2:$D971,3,FALSE),"")</f>
        <v>BROCARD</v>
      </c>
      <c r="F68" s="31">
        <v>370.49</v>
      </c>
      <c r="G68" s="32">
        <f t="shared" si="6"/>
        <v>390.86695</v>
      </c>
      <c r="H68" s="34">
        <f>IF(D68="Direct",PARAMETRES!$C$20,IF(D68="Centrale",PARAMETRES!$C$21,0))</f>
        <v>0.05</v>
      </c>
      <c r="I68" s="38">
        <f t="shared" si="2"/>
        <v>18.5245</v>
      </c>
      <c r="J68" s="40">
        <f t="shared" si="3"/>
        <v>1</v>
      </c>
      <c r="K68" s="40">
        <f t="shared" si="4"/>
        <v>2026</v>
      </c>
      <c r="L68" s="30">
        <f t="shared" si="5"/>
        <v>0</v>
      </c>
    </row>
    <row r="69" ht="15.75" customHeight="1">
      <c r="A69" s="21">
        <v>46034.0</v>
      </c>
      <c r="B69" s="23" t="s">
        <v>210</v>
      </c>
      <c r="C69" s="43" t="s">
        <v>7</v>
      </c>
      <c r="D69" s="30" t="str">
        <f>IF(C69&lt;&gt;"",VLOOKUP(C69,ENSEIGNES!$B$2:$D$47,2,FALSE),"")</f>
        <v>Centrale</v>
      </c>
      <c r="E69" s="30" t="str">
        <f>IF(C69&lt;&gt;"",VLOOKUP(C69,ENSEIGNES!$B$2:$D971,3,FALSE),"")</f>
        <v>BROCARD</v>
      </c>
      <c r="F69" s="31">
        <v>271.41</v>
      </c>
      <c r="G69" s="32">
        <f t="shared" si="6"/>
        <v>286.33755</v>
      </c>
      <c r="H69" s="34">
        <f>IF(D69="Direct",PARAMETRES!$C$20,IF(D69="Centrale",PARAMETRES!$C$21,0))</f>
        <v>0.05</v>
      </c>
      <c r="I69" s="38">
        <f t="shared" si="2"/>
        <v>13.5705</v>
      </c>
      <c r="J69" s="40">
        <f t="shared" si="3"/>
        <v>1</v>
      </c>
      <c r="K69" s="40">
        <f t="shared" si="4"/>
        <v>2026</v>
      </c>
      <c r="L69" s="30">
        <f t="shared" si="5"/>
        <v>0</v>
      </c>
    </row>
    <row r="70" ht="15.75" customHeight="1">
      <c r="A70" s="21">
        <v>46034.0</v>
      </c>
      <c r="B70" s="23" t="s">
        <v>211</v>
      </c>
      <c r="C70" s="43" t="s">
        <v>7</v>
      </c>
      <c r="D70" s="30" t="str">
        <f>IF(C70&lt;&gt;"",VLOOKUP(C70,ENSEIGNES!$B$2:$D$47,2,FALSE),"")</f>
        <v>Centrale</v>
      </c>
      <c r="E70" s="30" t="str">
        <f>IF(C70&lt;&gt;"",VLOOKUP(C70,ENSEIGNES!$B$2:$D971,3,FALSE),"")</f>
        <v>BROCARD</v>
      </c>
      <c r="F70" s="31">
        <v>137.86</v>
      </c>
      <c r="G70" s="32">
        <f t="shared" si="6"/>
        <v>145.4423</v>
      </c>
      <c r="H70" s="34">
        <f>IF(D70="Direct",PARAMETRES!$C$20,IF(D70="Centrale",PARAMETRES!$C$21,0))</f>
        <v>0.05</v>
      </c>
      <c r="I70" s="38">
        <f t="shared" si="2"/>
        <v>6.893</v>
      </c>
      <c r="J70" s="40">
        <f t="shared" si="3"/>
        <v>1</v>
      </c>
      <c r="K70" s="40">
        <f t="shared" si="4"/>
        <v>2026</v>
      </c>
      <c r="L70" s="30">
        <f t="shared" si="5"/>
        <v>0</v>
      </c>
    </row>
    <row r="71" ht="15.75" customHeight="1">
      <c r="A71" s="21">
        <v>46036.0</v>
      </c>
      <c r="B71" s="23" t="s">
        <v>213</v>
      </c>
      <c r="C71" s="43" t="s">
        <v>7</v>
      </c>
      <c r="D71" s="30" t="str">
        <f>IF(C71&lt;&gt;"",VLOOKUP(C71,ENSEIGNES!$B$2:$D$47,2,FALSE),"")</f>
        <v>Centrale</v>
      </c>
      <c r="E71" s="30" t="str">
        <f>IF(C71&lt;&gt;"",VLOOKUP(C71,ENSEIGNES!$B$2:$D971,3,FALSE),"")</f>
        <v>BROCARD</v>
      </c>
      <c r="F71" s="31">
        <v>482.5</v>
      </c>
      <c r="G71" s="32">
        <f t="shared" si="6"/>
        <v>509.0375</v>
      </c>
      <c r="H71" s="34">
        <f>IF(D71="Direct",PARAMETRES!$C$20,IF(D71="Centrale",PARAMETRES!$C$21,0))</f>
        <v>0.05</v>
      </c>
      <c r="I71" s="38">
        <f t="shared" si="2"/>
        <v>24.125</v>
      </c>
      <c r="J71" s="40">
        <f t="shared" si="3"/>
        <v>1</v>
      </c>
      <c r="K71" s="40">
        <f t="shared" si="4"/>
        <v>2026</v>
      </c>
      <c r="L71" s="30">
        <f t="shared" si="5"/>
        <v>0</v>
      </c>
    </row>
    <row r="72" ht="15.75" customHeight="1">
      <c r="A72" s="21">
        <v>46036.0</v>
      </c>
      <c r="B72" s="23" t="s">
        <v>214</v>
      </c>
      <c r="C72" s="43" t="s">
        <v>7</v>
      </c>
      <c r="D72" s="30" t="str">
        <f>IF(C72&lt;&gt;"",VLOOKUP(C72,ENSEIGNES!$B$2:$D$47,2,FALSE),"")</f>
        <v>Centrale</v>
      </c>
      <c r="E72" s="30" t="str">
        <f>IF(C72&lt;&gt;"",VLOOKUP(C72,ENSEIGNES!$B$2:$D971,3,FALSE),"")</f>
        <v>BROCARD</v>
      </c>
      <c r="F72" s="31">
        <v>258.48</v>
      </c>
      <c r="G72" s="32">
        <f t="shared" si="6"/>
        <v>272.6964</v>
      </c>
      <c r="H72" s="34">
        <f>IF(D72="Direct",PARAMETRES!$C$20,IF(D72="Centrale",PARAMETRES!$C$21,0))</f>
        <v>0.05</v>
      </c>
      <c r="I72" s="38">
        <f t="shared" si="2"/>
        <v>12.924</v>
      </c>
      <c r="J72" s="40">
        <f t="shared" si="3"/>
        <v>1</v>
      </c>
      <c r="K72" s="40">
        <f t="shared" si="4"/>
        <v>2026</v>
      </c>
      <c r="L72" s="30">
        <f t="shared" si="5"/>
        <v>0</v>
      </c>
    </row>
    <row r="73" ht="15.75" customHeight="1">
      <c r="A73" s="21">
        <v>46039.0</v>
      </c>
      <c r="B73" s="23" t="s">
        <v>215</v>
      </c>
      <c r="C73" s="43" t="s">
        <v>7</v>
      </c>
      <c r="D73" s="30" t="str">
        <f>IF(C73&lt;&gt;"",VLOOKUP(C73,ENSEIGNES!$B$2:$D$47,2,FALSE),"")</f>
        <v>Centrale</v>
      </c>
      <c r="E73" s="30" t="str">
        <f>IF(C73&lt;&gt;"",VLOOKUP(C73,ENSEIGNES!$B$2:$D971,3,FALSE),"")</f>
        <v>BROCARD</v>
      </c>
      <c r="F73" s="31">
        <v>249.87</v>
      </c>
      <c r="G73" s="32">
        <f t="shared" si="6"/>
        <v>263.61285</v>
      </c>
      <c r="H73" s="34">
        <f>IF(D73="Direct",PARAMETRES!$C$20,IF(D73="Centrale",PARAMETRES!$C$21,0))</f>
        <v>0.05</v>
      </c>
      <c r="I73" s="38">
        <f t="shared" si="2"/>
        <v>12.4935</v>
      </c>
      <c r="J73" s="40">
        <f t="shared" si="3"/>
        <v>1</v>
      </c>
      <c r="K73" s="40">
        <f t="shared" si="4"/>
        <v>2026</v>
      </c>
      <c r="L73" s="30">
        <f t="shared" si="5"/>
        <v>0</v>
      </c>
    </row>
    <row r="74" ht="15.75" customHeight="1">
      <c r="A74" s="21">
        <v>46039.0</v>
      </c>
      <c r="B74" s="23" t="s">
        <v>216</v>
      </c>
      <c r="C74" s="43" t="s">
        <v>7</v>
      </c>
      <c r="D74" s="30" t="str">
        <f>IF(C74&lt;&gt;"",VLOOKUP(C74,ENSEIGNES!$B$2:$D$47,2,FALSE),"")</f>
        <v>Centrale</v>
      </c>
      <c r="E74" s="30" t="str">
        <f>IF(C74&lt;&gt;"",VLOOKUP(C74,ENSEIGNES!$B$2:$D971,3,FALSE),"")</f>
        <v>BROCARD</v>
      </c>
      <c r="F74" s="31">
        <v>284.33</v>
      </c>
      <c r="G74" s="32">
        <f t="shared" si="6"/>
        <v>299.96815</v>
      </c>
      <c r="H74" s="34">
        <f>IF(D74="Direct",PARAMETRES!$C$20,IF(D74="Centrale",PARAMETRES!$C$21,0))</f>
        <v>0.05</v>
      </c>
      <c r="I74" s="38">
        <f t="shared" si="2"/>
        <v>14.2165</v>
      </c>
      <c r="J74" s="40">
        <f t="shared" si="3"/>
        <v>1</v>
      </c>
      <c r="K74" s="40">
        <f t="shared" si="4"/>
        <v>2026</v>
      </c>
      <c r="L74" s="30">
        <f t="shared" si="5"/>
        <v>0</v>
      </c>
    </row>
    <row r="75" ht="15.75" customHeight="1">
      <c r="A75" s="21">
        <v>46039.0</v>
      </c>
      <c r="B75" s="23" t="s">
        <v>217</v>
      </c>
      <c r="C75" s="43" t="s">
        <v>7</v>
      </c>
      <c r="D75" s="30" t="str">
        <f>IF(C75&lt;&gt;"",VLOOKUP(C75,ENSEIGNES!$B$2:$D$47,2,FALSE),"")</f>
        <v>Centrale</v>
      </c>
      <c r="E75" s="30" t="str">
        <f>IF(C75&lt;&gt;"",VLOOKUP(C75,ENSEIGNES!$B$2:$D971,3,FALSE),"")</f>
        <v>BROCARD</v>
      </c>
      <c r="F75" s="31">
        <v>116.32</v>
      </c>
      <c r="G75" s="32">
        <f t="shared" si="6"/>
        <v>122.7176</v>
      </c>
      <c r="H75" s="34">
        <f>IF(D75="Direct",PARAMETRES!$C$20,IF(D75="Centrale",PARAMETRES!$C$21,0))</f>
        <v>0.05</v>
      </c>
      <c r="I75" s="38">
        <f t="shared" si="2"/>
        <v>5.816</v>
      </c>
      <c r="J75" s="40">
        <f t="shared" si="3"/>
        <v>1</v>
      </c>
      <c r="K75" s="40">
        <f t="shared" si="4"/>
        <v>2026</v>
      </c>
      <c r="L75" s="30">
        <f t="shared" si="5"/>
        <v>0</v>
      </c>
    </row>
    <row r="76" ht="15.75" customHeight="1">
      <c r="A76" s="21">
        <v>46039.0</v>
      </c>
      <c r="B76" s="23" t="s">
        <v>218</v>
      </c>
      <c r="C76" s="43" t="s">
        <v>7</v>
      </c>
      <c r="D76" s="30" t="str">
        <f>IF(C76&lt;&gt;"",VLOOKUP(C76,ENSEIGNES!$B$2:$D$47,2,FALSE),"")</f>
        <v>Centrale</v>
      </c>
      <c r="E76" s="30" t="str">
        <f>IF(C76&lt;&gt;"",VLOOKUP(C76,ENSEIGNES!$B$2:$D971,3,FALSE),"")</f>
        <v>BROCARD</v>
      </c>
      <c r="F76" s="31">
        <v>77.55</v>
      </c>
      <c r="G76" s="32">
        <f t="shared" si="6"/>
        <v>81.81525</v>
      </c>
      <c r="H76" s="34">
        <f>IF(D76="Direct",PARAMETRES!$C$20,IF(D76="Centrale",PARAMETRES!$C$21,0))</f>
        <v>0.05</v>
      </c>
      <c r="I76" s="38">
        <f t="shared" si="2"/>
        <v>3.8775</v>
      </c>
      <c r="J76" s="40">
        <f t="shared" si="3"/>
        <v>1</v>
      </c>
      <c r="K76" s="40">
        <f t="shared" si="4"/>
        <v>2026</v>
      </c>
      <c r="L76" s="30">
        <f t="shared" si="5"/>
        <v>0</v>
      </c>
    </row>
    <row r="77" ht="15.75" customHeight="1">
      <c r="A77" s="21">
        <v>46039.0</v>
      </c>
      <c r="B77" s="23" t="s">
        <v>219</v>
      </c>
      <c r="C77" s="43" t="s">
        <v>7</v>
      </c>
      <c r="D77" s="30" t="str">
        <f>IF(C77&lt;&gt;"",VLOOKUP(C77,ENSEIGNES!$B$2:$D$47,2,FALSE),"")</f>
        <v>Centrale</v>
      </c>
      <c r="E77" s="30" t="str">
        <f>IF(C77&lt;&gt;"",VLOOKUP(C77,ENSEIGNES!$B$2:$D971,3,FALSE),"")</f>
        <v>BROCARD</v>
      </c>
      <c r="F77" s="31">
        <v>193.86</v>
      </c>
      <c r="G77" s="32">
        <f t="shared" si="6"/>
        <v>204.5223</v>
      </c>
      <c r="H77" s="34">
        <f>IF(D77="Direct",PARAMETRES!$C$20,IF(D77="Centrale",PARAMETRES!$C$21,0))</f>
        <v>0.05</v>
      </c>
      <c r="I77" s="38">
        <f t="shared" si="2"/>
        <v>9.693</v>
      </c>
      <c r="J77" s="40">
        <f t="shared" si="3"/>
        <v>1</v>
      </c>
      <c r="K77" s="40">
        <f t="shared" si="4"/>
        <v>2026</v>
      </c>
      <c r="L77" s="30">
        <f t="shared" si="5"/>
        <v>0</v>
      </c>
    </row>
    <row r="78" ht="15.75" customHeight="1">
      <c r="A78" s="21">
        <v>46039.0</v>
      </c>
      <c r="B78" s="23" t="s">
        <v>220</v>
      </c>
      <c r="C78" s="43" t="s">
        <v>7</v>
      </c>
      <c r="D78" s="30" t="str">
        <f>IF(C78&lt;&gt;"",VLOOKUP(C78,ENSEIGNES!$B$2:$D$47,2,FALSE),"")</f>
        <v>Centrale</v>
      </c>
      <c r="E78" s="30" t="str">
        <f>IF(C78&lt;&gt;"",VLOOKUP(C78,ENSEIGNES!$B$2:$D971,3,FALSE),"")</f>
        <v>BROCARD</v>
      </c>
      <c r="F78" s="31">
        <v>51.7</v>
      </c>
      <c r="G78" s="32">
        <f t="shared" si="6"/>
        <v>54.5435</v>
      </c>
      <c r="H78" s="34">
        <f>IF(D78="Direct",PARAMETRES!$C$20,IF(D78="Centrale",PARAMETRES!$C$21,0))</f>
        <v>0.05</v>
      </c>
      <c r="I78" s="38">
        <f t="shared" si="2"/>
        <v>2.585</v>
      </c>
      <c r="J78" s="40">
        <f t="shared" si="3"/>
        <v>1</v>
      </c>
      <c r="K78" s="40">
        <f t="shared" si="4"/>
        <v>2026</v>
      </c>
      <c r="L78" s="30">
        <f t="shared" si="5"/>
        <v>0</v>
      </c>
    </row>
    <row r="79" ht="15.75" customHeight="1">
      <c r="A79" s="21">
        <v>46043.0</v>
      </c>
      <c r="B79" s="23" t="s">
        <v>221</v>
      </c>
      <c r="C79" s="43" t="s">
        <v>7</v>
      </c>
      <c r="D79" s="30" t="str">
        <f>IF(C79&lt;&gt;"",VLOOKUP(C79,ENSEIGNES!$B$2:$D$47,2,FALSE),"")</f>
        <v>Centrale</v>
      </c>
      <c r="E79" s="30" t="str">
        <f>IF(C79&lt;&gt;"",VLOOKUP(C79,ENSEIGNES!$B$2:$D971,3,FALSE),"")</f>
        <v>BROCARD</v>
      </c>
      <c r="F79" s="31">
        <v>486.81</v>
      </c>
      <c r="G79" s="32">
        <f t="shared" si="6"/>
        <v>513.58455</v>
      </c>
      <c r="H79" s="34">
        <f>IF(D79="Direct",PARAMETRES!$C$20,IF(D79="Centrale",PARAMETRES!$C$21,0))</f>
        <v>0.05</v>
      </c>
      <c r="I79" s="38">
        <f t="shared" si="2"/>
        <v>24.3405</v>
      </c>
      <c r="J79" s="40">
        <f t="shared" si="3"/>
        <v>1</v>
      </c>
      <c r="K79" s="40">
        <f t="shared" si="4"/>
        <v>2026</v>
      </c>
      <c r="L79" s="30">
        <f t="shared" si="5"/>
        <v>0</v>
      </c>
    </row>
    <row r="80" ht="15.75" customHeight="1">
      <c r="A80" s="21">
        <v>46043.0</v>
      </c>
      <c r="B80" s="23" t="s">
        <v>222</v>
      </c>
      <c r="C80" s="43" t="s">
        <v>7</v>
      </c>
      <c r="D80" s="30" t="str">
        <f>IF(C80&lt;&gt;"",VLOOKUP(C80,ENSEIGNES!$B$2:$D$47,2,FALSE),"")</f>
        <v>Centrale</v>
      </c>
      <c r="E80" s="30" t="str">
        <f>IF(C80&lt;&gt;"",VLOOKUP(C80,ENSEIGNES!$B$2:$D971,3,FALSE),"")</f>
        <v>BROCARD</v>
      </c>
      <c r="F80" s="31">
        <v>331.72</v>
      </c>
      <c r="G80" s="32">
        <f t="shared" si="6"/>
        <v>349.9646</v>
      </c>
      <c r="H80" s="34">
        <f>IF(D80="Direct",PARAMETRES!$C$20,IF(D80="Centrale",PARAMETRES!$C$21,0))</f>
        <v>0.05</v>
      </c>
      <c r="I80" s="38">
        <f t="shared" si="2"/>
        <v>16.586</v>
      </c>
      <c r="J80" s="40">
        <f t="shared" si="3"/>
        <v>1</v>
      </c>
      <c r="K80" s="40">
        <f t="shared" si="4"/>
        <v>2026</v>
      </c>
      <c r="L80" s="30">
        <f t="shared" si="5"/>
        <v>0</v>
      </c>
    </row>
    <row r="81" ht="15.75" customHeight="1">
      <c r="A81" s="21">
        <v>46045.0</v>
      </c>
      <c r="B81" s="23" t="s">
        <v>223</v>
      </c>
      <c r="C81" s="43" t="s">
        <v>7</v>
      </c>
      <c r="D81" s="30" t="str">
        <f>IF(C81&lt;&gt;"",VLOOKUP(C81,ENSEIGNES!$B$2:$D$47,2,FALSE),"")</f>
        <v>Centrale</v>
      </c>
      <c r="E81" s="30" t="str">
        <f>IF(C81&lt;&gt;"",VLOOKUP(C81,ENSEIGNES!$B$2:$D971,3,FALSE),"")</f>
        <v>BROCARD</v>
      </c>
      <c r="F81" s="31">
        <v>340.34</v>
      </c>
      <c r="G81" s="32">
        <f t="shared" si="6"/>
        <v>359.0587</v>
      </c>
      <c r="H81" s="34">
        <f>IF(D81="Direct",PARAMETRES!$C$20,IF(D81="Centrale",PARAMETRES!$C$21,0))</f>
        <v>0.05</v>
      </c>
      <c r="I81" s="38">
        <f t="shared" si="2"/>
        <v>17.017</v>
      </c>
      <c r="J81" s="40">
        <f t="shared" si="3"/>
        <v>1</v>
      </c>
      <c r="K81" s="40">
        <f t="shared" si="4"/>
        <v>2026</v>
      </c>
      <c r="L81" s="30">
        <f t="shared" si="5"/>
        <v>0</v>
      </c>
    </row>
    <row r="82" ht="15.75" customHeight="1">
      <c r="A82" s="21">
        <v>46048.0</v>
      </c>
      <c r="B82" s="23" t="s">
        <v>227</v>
      </c>
      <c r="C82" s="43" t="s">
        <v>7</v>
      </c>
      <c r="D82" s="30" t="str">
        <f>IF(C82&lt;&gt;"",VLOOKUP(C82,ENSEIGNES!$B$2:$D$47,2,FALSE),"")</f>
        <v>Centrale</v>
      </c>
      <c r="E82" s="30" t="str">
        <f>IF(C82&lt;&gt;"",VLOOKUP(C82,ENSEIGNES!$B$2:$D971,3,FALSE),"")</f>
        <v>BROCARD</v>
      </c>
      <c r="F82" s="31">
        <v>146.47</v>
      </c>
      <c r="G82" s="32">
        <f t="shared" si="6"/>
        <v>154.52585</v>
      </c>
      <c r="H82" s="34">
        <f>IF(D82="Direct",PARAMETRES!$C$20,IF(D82="Centrale",PARAMETRES!$C$21,0))</f>
        <v>0.05</v>
      </c>
      <c r="I82" s="38">
        <f t="shared" si="2"/>
        <v>7.3235</v>
      </c>
      <c r="J82" s="40">
        <f t="shared" si="3"/>
        <v>1</v>
      </c>
      <c r="K82" s="40">
        <f t="shared" si="4"/>
        <v>2026</v>
      </c>
      <c r="L82" s="30">
        <f t="shared" si="5"/>
        <v>0</v>
      </c>
    </row>
    <row r="83" ht="15.75" customHeight="1">
      <c r="A83" s="21">
        <v>46048.0</v>
      </c>
      <c r="B83" s="23" t="s">
        <v>234</v>
      </c>
      <c r="C83" s="43" t="s">
        <v>7</v>
      </c>
      <c r="D83" s="30" t="str">
        <f>IF(C83&lt;&gt;"",VLOOKUP(C83,ENSEIGNES!$B$2:$D$47,2,FALSE),"")</f>
        <v>Centrale</v>
      </c>
      <c r="E83" s="30" t="str">
        <f>IF(C83&lt;&gt;"",VLOOKUP(C83,ENSEIGNES!$B$2:$D971,3,FALSE),"")</f>
        <v>BROCARD</v>
      </c>
      <c r="F83" s="31">
        <v>129.24</v>
      </c>
      <c r="G83" s="32">
        <f t="shared" si="6"/>
        <v>136.3482</v>
      </c>
      <c r="H83" s="34">
        <f>IF(D83="Direct",PARAMETRES!$C$20,IF(D83="Centrale",PARAMETRES!$C$21,0))</f>
        <v>0.05</v>
      </c>
      <c r="I83" s="38">
        <f t="shared" si="2"/>
        <v>6.462</v>
      </c>
      <c r="J83" s="40">
        <f t="shared" si="3"/>
        <v>1</v>
      </c>
      <c r="K83" s="40">
        <f t="shared" si="4"/>
        <v>2026</v>
      </c>
      <c r="L83" s="30">
        <f t="shared" si="5"/>
        <v>0</v>
      </c>
    </row>
    <row r="84" ht="15.75" customHeight="1">
      <c r="A84" s="21">
        <v>46048.0</v>
      </c>
      <c r="B84" s="23" t="s">
        <v>235</v>
      </c>
      <c r="C84" s="43" t="s">
        <v>7</v>
      </c>
      <c r="D84" s="30" t="str">
        <f>IF(C84&lt;&gt;"",VLOOKUP(C84,ENSEIGNES!$B$2:$D$47,2,FALSE),"")</f>
        <v>Centrale</v>
      </c>
      <c r="E84" s="30" t="str">
        <f>IF(C84&lt;&gt;"",VLOOKUP(C84,ENSEIGNES!$B$2:$D971,3,FALSE),"")</f>
        <v>BROCARD</v>
      </c>
      <c r="F84" s="31">
        <v>215.4</v>
      </c>
      <c r="G84" s="32">
        <f t="shared" si="6"/>
        <v>227.247</v>
      </c>
      <c r="H84" s="34">
        <f>IF(D84="Direct",PARAMETRES!$C$20,IF(D84="Centrale",PARAMETRES!$C$21,0))</f>
        <v>0.05</v>
      </c>
      <c r="I84" s="38">
        <f t="shared" si="2"/>
        <v>10.77</v>
      </c>
      <c r="J84" s="40">
        <f t="shared" si="3"/>
        <v>1</v>
      </c>
      <c r="K84" s="40">
        <f t="shared" si="4"/>
        <v>2026</v>
      </c>
      <c r="L84" s="30">
        <f t="shared" si="5"/>
        <v>0</v>
      </c>
    </row>
    <row r="85" ht="15.75" customHeight="1">
      <c r="A85" s="21">
        <v>46050.0</v>
      </c>
      <c r="B85" s="23" t="s">
        <v>237</v>
      </c>
      <c r="C85" s="43" t="s">
        <v>7</v>
      </c>
      <c r="D85" s="30" t="str">
        <f>IF(C85&lt;&gt;"",VLOOKUP(C85,ENSEIGNES!$B$2:$D$47,2,FALSE),"")</f>
        <v>Centrale</v>
      </c>
      <c r="E85" s="30" t="str">
        <f>IF(C85&lt;&gt;"",VLOOKUP(C85,ENSEIGNES!$B$2:$D971,3,FALSE),"")</f>
        <v>BROCARD</v>
      </c>
      <c r="F85" s="31">
        <v>383.42</v>
      </c>
      <c r="G85" s="32">
        <f t="shared" si="6"/>
        <v>404.5081</v>
      </c>
      <c r="H85" s="34">
        <f>IF(D85="Direct",PARAMETRES!$C$20,IF(D85="Centrale",PARAMETRES!$C$21,0))</f>
        <v>0.05</v>
      </c>
      <c r="I85" s="38">
        <f t="shared" si="2"/>
        <v>19.171</v>
      </c>
      <c r="J85" s="40">
        <f t="shared" si="3"/>
        <v>1</v>
      </c>
      <c r="K85" s="40">
        <f t="shared" si="4"/>
        <v>2026</v>
      </c>
      <c r="L85" s="30">
        <f t="shared" si="5"/>
        <v>0</v>
      </c>
    </row>
    <row r="86" ht="15.75" customHeight="1">
      <c r="A86" s="21">
        <v>46050.0</v>
      </c>
      <c r="B86" s="23" t="s">
        <v>238</v>
      </c>
      <c r="C86" s="43" t="s">
        <v>7</v>
      </c>
      <c r="D86" s="30" t="str">
        <f>IF(C86&lt;&gt;"",VLOOKUP(C86,ENSEIGNES!$B$2:$D$47,2,FALSE),"")</f>
        <v>Centrale</v>
      </c>
      <c r="E86" s="30" t="str">
        <f>IF(C86&lt;&gt;"",VLOOKUP(C86,ENSEIGNES!$B$2:$D971,3,FALSE),"")</f>
        <v>BROCARD</v>
      </c>
      <c r="F86" s="31">
        <v>331.72</v>
      </c>
      <c r="G86" s="32">
        <f t="shared" si="6"/>
        <v>349.9646</v>
      </c>
      <c r="H86" s="34">
        <f>IF(D86="Direct",PARAMETRES!$C$20,IF(D86="Centrale",PARAMETRES!$C$21,0))</f>
        <v>0.05</v>
      </c>
      <c r="I86" s="38">
        <f t="shared" si="2"/>
        <v>16.586</v>
      </c>
      <c r="J86" s="40">
        <f t="shared" si="3"/>
        <v>1</v>
      </c>
      <c r="K86" s="40">
        <f t="shared" si="4"/>
        <v>2026</v>
      </c>
      <c r="L86" s="30">
        <f t="shared" si="5"/>
        <v>0</v>
      </c>
    </row>
    <row r="87" ht="15.75" customHeight="1">
      <c r="A87" s="21">
        <v>46052.0</v>
      </c>
      <c r="B87" s="23" t="s">
        <v>240</v>
      </c>
      <c r="C87" s="43" t="s">
        <v>7</v>
      </c>
      <c r="D87" s="30" t="str">
        <f>IF(C87&lt;&gt;"",VLOOKUP(C87,ENSEIGNES!$B$2:$D$47,2,FALSE),"")</f>
        <v>Centrale</v>
      </c>
      <c r="E87" s="30" t="str">
        <f>IF(C87&lt;&gt;"",VLOOKUP(C87,ENSEIGNES!$B$2:$D971,3,FALSE),"")</f>
        <v>BROCARD</v>
      </c>
      <c r="F87" s="31">
        <v>310.18</v>
      </c>
      <c r="G87" s="32">
        <f t="shared" si="6"/>
        <v>327.2399</v>
      </c>
      <c r="H87" s="34">
        <f>IF(D87="Direct",PARAMETRES!$C$20,IF(D87="Centrale",PARAMETRES!$C$21,0))</f>
        <v>0.05</v>
      </c>
      <c r="I87" s="38">
        <f t="shared" si="2"/>
        <v>15.509</v>
      </c>
      <c r="J87" s="40">
        <f t="shared" si="3"/>
        <v>1</v>
      </c>
      <c r="K87" s="40">
        <f t="shared" si="4"/>
        <v>2026</v>
      </c>
      <c r="L87" s="30">
        <f t="shared" si="5"/>
        <v>0</v>
      </c>
    </row>
    <row r="88" ht="15.75" customHeight="1">
      <c r="A88" s="21">
        <v>46052.0</v>
      </c>
      <c r="B88" s="23" t="s">
        <v>242</v>
      </c>
      <c r="C88" s="43" t="s">
        <v>7</v>
      </c>
      <c r="D88" s="30" t="str">
        <f>IF(C88&lt;&gt;"",VLOOKUP(C88,ENSEIGNES!$B$2:$D$47,2,FALSE),"")</f>
        <v>Centrale</v>
      </c>
      <c r="E88" s="30" t="str">
        <f>IF(C88&lt;&gt;"",VLOOKUP(C88,ENSEIGNES!$B$2:$D971,3,FALSE),"")</f>
        <v>BROCARD</v>
      </c>
      <c r="F88" s="31">
        <v>159.4</v>
      </c>
      <c r="G88" s="32">
        <f t="shared" si="6"/>
        <v>168.167</v>
      </c>
      <c r="H88" s="34">
        <f>IF(D88="Direct",PARAMETRES!$C$20,IF(D88="Centrale",PARAMETRES!$C$21,0))</f>
        <v>0.05</v>
      </c>
      <c r="I88" s="38">
        <f t="shared" si="2"/>
        <v>7.97</v>
      </c>
      <c r="J88" s="40">
        <f t="shared" si="3"/>
        <v>1</v>
      </c>
      <c r="K88" s="40">
        <f t="shared" si="4"/>
        <v>2026</v>
      </c>
      <c r="L88" s="30">
        <f t="shared" si="5"/>
        <v>0</v>
      </c>
    </row>
    <row r="89" ht="15.75" customHeight="1">
      <c r="A89" s="21">
        <v>46052.0</v>
      </c>
      <c r="B89" s="23" t="s">
        <v>243</v>
      </c>
      <c r="C89" s="43" t="s">
        <v>7</v>
      </c>
      <c r="D89" s="30" t="str">
        <f>IF(C89&lt;&gt;"",VLOOKUP(C89,ENSEIGNES!$B$2:$D$47,2,FALSE),"")</f>
        <v>Centrale</v>
      </c>
      <c r="E89" s="30" t="str">
        <f>IF(C89&lt;&gt;"",VLOOKUP(C89,ENSEIGNES!$B$2:$D971,3,FALSE),"")</f>
        <v>BROCARD</v>
      </c>
      <c r="F89" s="31">
        <v>159.4</v>
      </c>
      <c r="G89" s="32">
        <f t="shared" si="6"/>
        <v>168.167</v>
      </c>
      <c r="H89" s="34">
        <f>IF(D89="Direct",PARAMETRES!$C$20,IF(D89="Centrale",PARAMETRES!$C$21,0))</f>
        <v>0.05</v>
      </c>
      <c r="I89" s="38">
        <f t="shared" si="2"/>
        <v>7.97</v>
      </c>
      <c r="J89" s="40">
        <f t="shared" si="3"/>
        <v>1</v>
      </c>
      <c r="K89" s="40">
        <f t="shared" si="4"/>
        <v>2026</v>
      </c>
      <c r="L89" s="30">
        <f t="shared" si="5"/>
        <v>0</v>
      </c>
    </row>
    <row r="90" ht="15.75" customHeight="1">
      <c r="A90" s="21">
        <v>46058.0</v>
      </c>
      <c r="B90" s="23" t="s">
        <v>245</v>
      </c>
      <c r="C90" s="43" t="s">
        <v>69</v>
      </c>
      <c r="D90" s="30" t="str">
        <f>IF(C90&lt;&gt;"",VLOOKUP(C90,ENSEIGNES!$B$2:$D$47,2,FALSE),"")</f>
        <v>Direct</v>
      </c>
      <c r="E90" s="30" t="str">
        <f>IF(C90&lt;&gt;"",VLOOKUP(C90,ENSEIGNES!$B$2:$D971,3,FALSE),"")</f>
        <v>CAP FRAIS</v>
      </c>
      <c r="F90" s="31">
        <v>547.52</v>
      </c>
      <c r="G90" s="32">
        <f t="shared" si="6"/>
        <v>577.6336</v>
      </c>
      <c r="H90" s="34">
        <f>IF(D90="Direct",PARAMETRES!$C$20,IF(D90="Centrale",PARAMETRES!$C$21,0))</f>
        <v>0.07</v>
      </c>
      <c r="I90" s="38">
        <f t="shared" si="2"/>
        <v>38.3264</v>
      </c>
      <c r="J90" s="40">
        <f t="shared" si="3"/>
        <v>2</v>
      </c>
      <c r="K90" s="40">
        <f t="shared" si="4"/>
        <v>2026</v>
      </c>
      <c r="L90" s="30">
        <f t="shared" si="5"/>
        <v>1</v>
      </c>
    </row>
    <row r="91" ht="15.75" customHeight="1">
      <c r="A91" s="21">
        <v>46058.0</v>
      </c>
      <c r="B91" s="23" t="s">
        <v>247</v>
      </c>
      <c r="C91" s="43" t="s">
        <v>56</v>
      </c>
      <c r="D91" s="30" t="str">
        <f>IF(C91&lt;&gt;"",VLOOKUP(C91,ENSEIGNES!$B$2:$D971,2,FALSE),"")</f>
        <v>Direct</v>
      </c>
      <c r="E91" s="30" t="str">
        <f>IF(C91&lt;&gt;"",VLOOKUP(C91,ENSEIGNES!$B$2:$D971,3,FALSE),"")</f>
        <v>CAP FRAIS</v>
      </c>
      <c r="F91" s="31">
        <v>501.12</v>
      </c>
      <c r="G91" s="32">
        <f t="shared" si="6"/>
        <v>528.6816</v>
      </c>
      <c r="H91" s="34">
        <f>IF(D91="Direct",PARAMETRES!$C$20,IF(D91="Centrale",PARAMETRES!$C$21,0))</f>
        <v>0.07</v>
      </c>
      <c r="I91" s="38">
        <f t="shared" si="2"/>
        <v>35.0784</v>
      </c>
      <c r="J91" s="40">
        <f t="shared" si="3"/>
        <v>2</v>
      </c>
      <c r="K91" s="40">
        <f t="shared" si="4"/>
        <v>2026</v>
      </c>
      <c r="L91" s="30">
        <f t="shared" si="5"/>
        <v>1</v>
      </c>
    </row>
    <row r="92" ht="15.75" customHeight="1">
      <c r="A92" s="21">
        <v>46059.0</v>
      </c>
      <c r="B92" s="23" t="s">
        <v>249</v>
      </c>
      <c r="C92" s="43" t="s">
        <v>91</v>
      </c>
      <c r="D92" s="30" t="str">
        <f>IF(C92&lt;&gt;"",VLOOKUP(C92,ENSEIGNES!$B$2:$D971,2,FALSE),"")</f>
        <v>Centrale</v>
      </c>
      <c r="E92" s="30" t="str">
        <f>IF(C92&lt;&gt;"",VLOOKUP(C92,ENSEIGNES!$B$2:$D971,3,FALSE),"")</f>
        <v>CAP FRAIS</v>
      </c>
      <c r="F92" s="31">
        <v>417.6</v>
      </c>
      <c r="G92" s="32">
        <f t="shared" si="6"/>
        <v>440.568</v>
      </c>
      <c r="H92" s="34">
        <f>IF(D92="Direct",PARAMETRES!$C$20,IF(D92="Centrale",PARAMETRES!$C$21,0))</f>
        <v>0.05</v>
      </c>
      <c r="I92" s="38">
        <f t="shared" si="2"/>
        <v>20.88</v>
      </c>
      <c r="J92" s="40">
        <f t="shared" si="3"/>
        <v>2</v>
      </c>
      <c r="K92" s="40">
        <f t="shared" si="4"/>
        <v>2026</v>
      </c>
      <c r="L92" s="30">
        <f t="shared" si="5"/>
        <v>1</v>
      </c>
    </row>
    <row r="93" ht="15.75" customHeight="1">
      <c r="A93" s="21">
        <v>46064.0</v>
      </c>
      <c r="B93" s="23" t="s">
        <v>250</v>
      </c>
      <c r="C93" s="43" t="s">
        <v>73</v>
      </c>
      <c r="D93" s="30" t="str">
        <f>IF(C93&lt;&gt;"",VLOOKUP(C93,ENSEIGNES!$B$2:$D971,2,FALSE),"")</f>
        <v>Direct</v>
      </c>
      <c r="E93" s="30" t="str">
        <f>IF(C93&lt;&gt;"",VLOOKUP(C93,ENSEIGNES!$B$2:$D971,3,FALSE),"")</f>
        <v>CAP FRAIS</v>
      </c>
      <c r="F93" s="31">
        <v>385.12</v>
      </c>
      <c r="G93" s="32">
        <f t="shared" si="6"/>
        <v>406.3016</v>
      </c>
      <c r="H93" s="34">
        <f>IF(D93="Direct",PARAMETRES!$C$20,IF(D93="Centrale",PARAMETRES!$C$21,0))</f>
        <v>0.07</v>
      </c>
      <c r="I93" s="38">
        <f t="shared" si="2"/>
        <v>26.9584</v>
      </c>
      <c r="J93" s="40">
        <f t="shared" si="3"/>
        <v>2</v>
      </c>
      <c r="K93" s="40">
        <f t="shared" si="4"/>
        <v>2026</v>
      </c>
      <c r="L93" s="30">
        <f t="shared" si="5"/>
        <v>1</v>
      </c>
    </row>
    <row r="94" ht="15.75" customHeight="1">
      <c r="A94" s="21">
        <v>46064.0</v>
      </c>
      <c r="B94" s="23" t="s">
        <v>251</v>
      </c>
      <c r="C94" s="43" t="s">
        <v>71</v>
      </c>
      <c r="D94" s="30" t="str">
        <f>IF(C94&lt;&gt;"",VLOOKUP(C94,ENSEIGNES!$B$2:$D971,2,FALSE),"")</f>
        <v>Direct</v>
      </c>
      <c r="E94" s="30" t="str">
        <f>IF(C94&lt;&gt;"",VLOOKUP(C94,ENSEIGNES!$B$2:$D971,3,FALSE),"")</f>
        <v>CAP FRAIS</v>
      </c>
      <c r="F94" s="31">
        <v>440.8</v>
      </c>
      <c r="G94" s="32">
        <f t="shared" si="6"/>
        <v>465.044</v>
      </c>
      <c r="H94" s="34">
        <f>IF(D94="Direct",PARAMETRES!$C$20,IF(D94="Centrale",PARAMETRES!$C$21,0))</f>
        <v>0.07</v>
      </c>
      <c r="I94" s="38">
        <f t="shared" si="2"/>
        <v>30.856</v>
      </c>
      <c r="J94" s="40">
        <f t="shared" si="3"/>
        <v>2</v>
      </c>
      <c r="K94" s="40">
        <f t="shared" si="4"/>
        <v>2026</v>
      </c>
      <c r="L94" s="30">
        <f t="shared" si="5"/>
        <v>1</v>
      </c>
    </row>
    <row r="95" ht="15.75" customHeight="1">
      <c r="A95" s="21">
        <v>46064.0</v>
      </c>
      <c r="B95" s="43" t="s">
        <v>252</v>
      </c>
      <c r="C95" s="43" t="s">
        <v>62</v>
      </c>
      <c r="D95" s="30" t="str">
        <f>IF(C95&lt;&gt;"",VLOOKUP(C95,ENSEIGNES!$B$2:$D971,2,FALSE),"")</f>
        <v>Centrale</v>
      </c>
      <c r="E95" s="30" t="str">
        <f>IF(C95&lt;&gt;"",VLOOKUP(C95,ENSEIGNES!$B$2:$D971,3,FALSE),"")</f>
        <v>GMA GROUP</v>
      </c>
      <c r="F95" s="81">
        <v>1425.6</v>
      </c>
      <c r="G95" s="32"/>
      <c r="H95" s="34">
        <f>IF(D95="Direct",PARAMETRES!$C$20,IF(D95="Centrale",PARAMETRES!$C$21,0))</f>
        <v>0.05</v>
      </c>
      <c r="I95" s="38">
        <f t="shared" si="2"/>
        <v>71.28</v>
      </c>
      <c r="J95" s="40">
        <f t="shared" si="3"/>
        <v>2</v>
      </c>
      <c r="K95" s="40">
        <f t="shared" si="4"/>
        <v>2026</v>
      </c>
      <c r="L95" s="30">
        <f t="shared" si="5"/>
        <v>0</v>
      </c>
    </row>
    <row r="96" ht="15.75" customHeight="1">
      <c r="A96" s="21">
        <v>46064.0</v>
      </c>
      <c r="B96" s="43" t="s">
        <v>254</v>
      </c>
      <c r="C96" s="43" t="s">
        <v>62</v>
      </c>
      <c r="D96" s="30" t="str">
        <f>IF(C96&lt;&gt;"",VLOOKUP(C96,ENSEIGNES!$B$2:$D$47,2,FALSE),"")</f>
        <v>Centrale</v>
      </c>
      <c r="E96" s="30" t="str">
        <f>IF(C96&lt;&gt;"",VLOOKUP(C96,ENSEIGNES!$B$2:$D971,3,FALSE),"")</f>
        <v>GMA GROUP</v>
      </c>
      <c r="F96" s="81">
        <v>1425.6</v>
      </c>
      <c r="G96" s="32"/>
      <c r="H96" s="34">
        <f>IF(D96="Direct",PARAMETRES!$C$20,IF(D96="Centrale",PARAMETRES!$C$21,0))</f>
        <v>0.05</v>
      </c>
      <c r="I96" s="38">
        <f t="shared" si="2"/>
        <v>71.28</v>
      </c>
      <c r="J96" s="40">
        <f t="shared" si="3"/>
        <v>2</v>
      </c>
      <c r="K96" s="40">
        <f t="shared" si="4"/>
        <v>2026</v>
      </c>
      <c r="L96" s="30">
        <f t="shared" si="5"/>
        <v>0</v>
      </c>
    </row>
    <row r="97" ht="15.75" customHeight="1">
      <c r="A97" s="21">
        <v>46055.0</v>
      </c>
      <c r="B97" s="43" t="s">
        <v>259</v>
      </c>
      <c r="C97" s="43" t="s">
        <v>66</v>
      </c>
      <c r="D97" s="30" t="str">
        <f>IF(C97&lt;&gt;"",VLOOKUP(C97,ENSEIGNES!$B$2:$D$47,2,FALSE),"")</f>
        <v>Direct</v>
      </c>
      <c r="E97" s="30" t="str">
        <f>IF(C97&lt;&gt;"",VLOOKUP(C97,ENSEIGNES!$B$2:$D971,3,FALSE),"")</f>
        <v>SCHLESSER</v>
      </c>
      <c r="F97" s="81">
        <v>348.0</v>
      </c>
      <c r="G97" s="32">
        <f t="shared" ref="G97:G112" si="7">F97*(1+5.5%)</f>
        <v>367.14</v>
      </c>
      <c r="H97" s="34">
        <f>IF(D97="Direct",PARAMETRES!$C$20,IF(D97="Centrale",PARAMETRES!$C$21,0))</f>
        <v>0.07</v>
      </c>
      <c r="I97" s="38">
        <f t="shared" si="2"/>
        <v>24.36</v>
      </c>
      <c r="J97" s="40">
        <f t="shared" si="3"/>
        <v>2</v>
      </c>
      <c r="K97" s="40">
        <f t="shared" si="4"/>
        <v>2026</v>
      </c>
      <c r="L97" s="30">
        <f t="shared" si="5"/>
        <v>1</v>
      </c>
    </row>
    <row r="98" ht="15.75" customHeight="1">
      <c r="A98" s="21">
        <v>46056.0</v>
      </c>
      <c r="B98" s="43" t="s">
        <v>260</v>
      </c>
      <c r="C98" s="43" t="s">
        <v>37</v>
      </c>
      <c r="D98" s="30" t="str">
        <f>IF(C98&lt;&gt;"",VLOOKUP(C98,ENSEIGNES!$B$2:$D$47,2,FALSE),"")</f>
        <v>Centrale</v>
      </c>
      <c r="E98" s="30" t="str">
        <f>IF(C98&lt;&gt;"",VLOOKUP(C98,ENSEIGNES!$B$2:$D971,3,FALSE),"")</f>
        <v>CAP FRAIS</v>
      </c>
      <c r="F98" s="81">
        <v>453.88</v>
      </c>
      <c r="G98" s="32">
        <f t="shared" si="7"/>
        <v>478.8434</v>
      </c>
      <c r="H98" s="34">
        <f>IF(D98="Direct",PARAMETRES!$C$20,IF(D98="Centrale",PARAMETRES!$C$21,0))</f>
        <v>0.05</v>
      </c>
      <c r="I98" s="38">
        <f t="shared" si="2"/>
        <v>22.694</v>
      </c>
      <c r="J98" s="40">
        <f t="shared" si="3"/>
        <v>2</v>
      </c>
      <c r="K98" s="40">
        <f t="shared" si="4"/>
        <v>2026</v>
      </c>
      <c r="L98" s="30">
        <f t="shared" si="5"/>
        <v>1</v>
      </c>
    </row>
    <row r="99" ht="15.75" customHeight="1">
      <c r="A99" s="21">
        <v>46058.0</v>
      </c>
      <c r="B99" s="43" t="s">
        <v>262</v>
      </c>
      <c r="C99" s="43" t="s">
        <v>37</v>
      </c>
      <c r="D99" s="30" t="str">
        <f>IF(C99&lt;&gt;"",VLOOKUP(C99,ENSEIGNES!$B$2:$D$47,2,FALSE),"")</f>
        <v>Centrale</v>
      </c>
      <c r="E99" s="30" t="str">
        <f>IF(C99&lt;&gt;"",VLOOKUP(C99,ENSEIGNES!$B$2:$D971,3,FALSE),"")</f>
        <v>CAP FRAIS</v>
      </c>
      <c r="F99" s="81">
        <v>745.29</v>
      </c>
      <c r="G99" s="32">
        <f t="shared" si="7"/>
        <v>786.28095</v>
      </c>
      <c r="H99" s="34">
        <f>IF(D99="Direct",PARAMETRES!$C$20,IF(D99="Centrale",PARAMETRES!$C$21,0))</f>
        <v>0.05</v>
      </c>
      <c r="I99" s="38">
        <f t="shared" si="2"/>
        <v>37.2645</v>
      </c>
      <c r="J99" s="40">
        <f t="shared" si="3"/>
        <v>2</v>
      </c>
      <c r="K99" s="40">
        <f t="shared" si="4"/>
        <v>2026</v>
      </c>
      <c r="L99" s="30">
        <f t="shared" si="5"/>
        <v>0</v>
      </c>
    </row>
    <row r="100" ht="15.75" customHeight="1">
      <c r="A100" s="21">
        <v>46064.0</v>
      </c>
      <c r="B100" s="43" t="s">
        <v>264</v>
      </c>
      <c r="C100" s="43" t="s">
        <v>37</v>
      </c>
      <c r="D100" s="30" t="str">
        <f>IF(C100&lt;&gt;"",VLOOKUP(C100,ENSEIGNES!$B$2:$D971,2,FALSE),"")</f>
        <v>Centrale</v>
      </c>
      <c r="E100" s="30" t="str">
        <f>IF(C100&lt;&gt;"",VLOOKUP(C100,ENSEIGNES!$B$2:$D971,3,FALSE),"")</f>
        <v>CAP FRAIS</v>
      </c>
      <c r="F100" s="81">
        <v>516.97</v>
      </c>
      <c r="G100" s="32">
        <f t="shared" si="7"/>
        <v>545.40335</v>
      </c>
      <c r="H100" s="34">
        <f>IF(D100="Direct",PARAMETRES!$C$20,IF(D100="Centrale",PARAMETRES!$C$21,0))</f>
        <v>0.05</v>
      </c>
      <c r="I100" s="38">
        <f t="shared" si="2"/>
        <v>25.8485</v>
      </c>
      <c r="J100" s="40">
        <f t="shared" si="3"/>
        <v>2</v>
      </c>
      <c r="K100" s="40">
        <f t="shared" si="4"/>
        <v>2026</v>
      </c>
      <c r="L100" s="30">
        <f t="shared" si="5"/>
        <v>0</v>
      </c>
    </row>
    <row r="101" ht="15.75" customHeight="1">
      <c r="A101" s="21">
        <v>46066.0</v>
      </c>
      <c r="B101" s="43" t="s">
        <v>266</v>
      </c>
      <c r="C101" s="43" t="s">
        <v>92</v>
      </c>
      <c r="D101" s="30" t="str">
        <f>IF(C101&lt;&gt;"",VLOOKUP(C101,ENSEIGNES!$B$2:$D971,2,FALSE),"")</f>
        <v>Centrale</v>
      </c>
      <c r="E101" s="30" t="str">
        <f>IF(C101&lt;&gt;"",VLOOKUP(C101,ENSEIGNES!$B$2:$D971,3,FALSE),"")</f>
        <v>CAP FRAIS</v>
      </c>
      <c r="F101" s="81">
        <v>431.52</v>
      </c>
      <c r="G101" s="32">
        <f t="shared" si="7"/>
        <v>455.2536</v>
      </c>
      <c r="H101" s="34">
        <f>IF(D101="Direct",PARAMETRES!$C$20,IF(D101="Centrale",PARAMETRES!$C$21,0))</f>
        <v>0.05</v>
      </c>
      <c r="I101" s="38">
        <f t="shared" si="2"/>
        <v>21.576</v>
      </c>
      <c r="J101" s="40">
        <f t="shared" si="3"/>
        <v>2</v>
      </c>
      <c r="K101" s="40">
        <f t="shared" si="4"/>
        <v>2026</v>
      </c>
      <c r="L101" s="30">
        <f t="shared" si="5"/>
        <v>1</v>
      </c>
    </row>
    <row r="102" ht="15.75" customHeight="1">
      <c r="A102" s="21">
        <v>46069.0</v>
      </c>
      <c r="B102" s="43" t="s">
        <v>267</v>
      </c>
      <c r="C102" s="43" t="s">
        <v>55</v>
      </c>
      <c r="D102" s="30" t="str">
        <f>IF(C102&lt;&gt;"",VLOOKUP(C102,ENSEIGNES!$B$2:$D971,2,FALSE),"")</f>
        <v>Direct</v>
      </c>
      <c r="E102" s="30" t="str">
        <f>IF(C102&lt;&gt;"",VLOOKUP(C102,ENSEIGNES!$B$2:$D971,3,FALSE),"")</f>
        <v>CAP FRAIS</v>
      </c>
      <c r="F102" s="81">
        <v>408.32</v>
      </c>
      <c r="G102" s="32">
        <f t="shared" si="7"/>
        <v>430.7776</v>
      </c>
      <c r="H102" s="34">
        <f>IF(D102="Direct",PARAMETRES!$C$20,IF(D102="Centrale",PARAMETRES!$C$21,0))</f>
        <v>0.07</v>
      </c>
      <c r="I102" s="38">
        <f t="shared" si="2"/>
        <v>28.5824</v>
      </c>
      <c r="J102" s="40">
        <f t="shared" si="3"/>
        <v>2</v>
      </c>
      <c r="K102" s="40">
        <f t="shared" si="4"/>
        <v>2026</v>
      </c>
      <c r="L102" s="30">
        <f t="shared" si="5"/>
        <v>1</v>
      </c>
    </row>
    <row r="103" ht="15.75" customHeight="1">
      <c r="A103" s="21">
        <v>46070.0</v>
      </c>
      <c r="B103" s="43" t="s">
        <v>269</v>
      </c>
      <c r="C103" s="43" t="s">
        <v>76</v>
      </c>
      <c r="D103" s="30" t="str">
        <f>IF(C103&lt;&gt;"",VLOOKUP(C103,ENSEIGNES!$B$2:$D971,2,FALSE),"")</f>
        <v>Direct</v>
      </c>
      <c r="E103" s="30" t="str">
        <f>IF(C103&lt;&gt;"",VLOOKUP(C103,ENSEIGNES!$B$2:$D971,3,FALSE),"")</f>
        <v>CAP FRAIS</v>
      </c>
      <c r="F103" s="81">
        <v>389.76</v>
      </c>
      <c r="G103" s="32">
        <f t="shared" si="7"/>
        <v>411.1968</v>
      </c>
      <c r="H103" s="34">
        <f>IF(D103="Direct",PARAMETRES!$C$20,IF(D103="Centrale",PARAMETRES!$C$21,0))</f>
        <v>0.07</v>
      </c>
      <c r="I103" s="38">
        <f t="shared" si="2"/>
        <v>27.2832</v>
      </c>
      <c r="J103" s="40">
        <f t="shared" si="3"/>
        <v>2</v>
      </c>
      <c r="K103" s="40">
        <f t="shared" si="4"/>
        <v>2026</v>
      </c>
      <c r="L103" s="30">
        <f t="shared" si="5"/>
        <v>1</v>
      </c>
    </row>
    <row r="104" ht="15.75" customHeight="1">
      <c r="A104" s="21">
        <v>46072.0</v>
      </c>
      <c r="B104" s="43" t="s">
        <v>271</v>
      </c>
      <c r="C104" s="43" t="s">
        <v>71</v>
      </c>
      <c r="D104" s="30" t="str">
        <f>IF(C104&lt;&gt;"",VLOOKUP(C104,ENSEIGNES!$B$2:$D971,2,FALSE),"")</f>
        <v>Direct</v>
      </c>
      <c r="E104" s="30" t="str">
        <f>IF(C104&lt;&gt;"",VLOOKUP(C104,ENSEIGNES!$B$2:$D971,3,FALSE),"")</f>
        <v>CAP FRAIS</v>
      </c>
      <c r="F104" s="81">
        <v>440.8</v>
      </c>
      <c r="G104" s="32">
        <f t="shared" si="7"/>
        <v>465.044</v>
      </c>
      <c r="H104" s="34">
        <f>IF(D104="Direct",PARAMETRES!$C$20,IF(D104="Centrale",PARAMETRES!$C$21,0))</f>
        <v>0.07</v>
      </c>
      <c r="I104" s="38">
        <f t="shared" si="2"/>
        <v>30.856</v>
      </c>
      <c r="J104" s="40">
        <f t="shared" si="3"/>
        <v>2</v>
      </c>
      <c r="K104" s="40">
        <f t="shared" si="4"/>
        <v>2026</v>
      </c>
      <c r="L104" s="30">
        <f t="shared" si="5"/>
        <v>0</v>
      </c>
    </row>
    <row r="105" ht="15.75" customHeight="1">
      <c r="A105" s="21">
        <v>46072.0</v>
      </c>
      <c r="B105" s="43" t="s">
        <v>275</v>
      </c>
      <c r="C105" s="43" t="s">
        <v>75</v>
      </c>
      <c r="D105" s="30" t="str">
        <f>IF(C105&lt;&gt;"",VLOOKUP(C105,ENSEIGNES!$B$2:$D971,2,FALSE),"")</f>
        <v>Direct</v>
      </c>
      <c r="E105" s="30" t="str">
        <f>IF(C105&lt;&gt;"",VLOOKUP(C105,ENSEIGNES!$B$2:$D971,3,FALSE),"")</f>
        <v>CAP FRAIS</v>
      </c>
      <c r="F105" s="81">
        <v>389.76</v>
      </c>
      <c r="G105" s="32">
        <f t="shared" si="7"/>
        <v>411.1968</v>
      </c>
      <c r="H105" s="34">
        <f>IF(D105="Direct",PARAMETRES!$C$20,IF(D105="Centrale",PARAMETRES!$C$21,0))</f>
        <v>0.07</v>
      </c>
      <c r="I105" s="38">
        <f t="shared" si="2"/>
        <v>27.2832</v>
      </c>
      <c r="J105" s="40">
        <f t="shared" si="3"/>
        <v>2</v>
      </c>
      <c r="K105" s="40">
        <f t="shared" si="4"/>
        <v>2026</v>
      </c>
      <c r="L105" s="30">
        <f t="shared" si="5"/>
        <v>1</v>
      </c>
    </row>
    <row r="106" ht="15.75" customHeight="1">
      <c r="A106" s="21">
        <v>46073.0</v>
      </c>
      <c r="B106" s="43" t="s">
        <v>276</v>
      </c>
      <c r="C106" s="43" t="s">
        <v>91</v>
      </c>
      <c r="D106" s="30" t="str">
        <f>IF(C106&lt;&gt;"",VLOOKUP(C106,ENSEIGNES!$B$2:$D971,2,FALSE),"")</f>
        <v>Centrale</v>
      </c>
      <c r="E106" s="30" t="str">
        <f>IF(C106&lt;&gt;"",VLOOKUP(C106,ENSEIGNES!$B$2:$D971,3,FALSE),"")</f>
        <v>CAP FRAIS</v>
      </c>
      <c r="F106" s="81">
        <v>361.92</v>
      </c>
      <c r="G106" s="32">
        <f t="shared" si="7"/>
        <v>381.8256</v>
      </c>
      <c r="H106" s="34">
        <f>IF(D106="Direct",PARAMETRES!$C$20,IF(D106="Centrale",PARAMETRES!$C$21,0))</f>
        <v>0.05</v>
      </c>
      <c r="I106" s="38">
        <f t="shared" si="2"/>
        <v>18.096</v>
      </c>
      <c r="J106" s="40">
        <f t="shared" si="3"/>
        <v>2</v>
      </c>
      <c r="K106" s="40">
        <f t="shared" si="4"/>
        <v>2026</v>
      </c>
      <c r="L106" s="30">
        <f t="shared" si="5"/>
        <v>0</v>
      </c>
    </row>
    <row r="107" ht="15.75" customHeight="1">
      <c r="A107" s="21">
        <v>46078.0</v>
      </c>
      <c r="B107" s="43" t="s">
        <v>277</v>
      </c>
      <c r="C107" s="43" t="s">
        <v>39</v>
      </c>
      <c r="D107" s="30" t="str">
        <f>IF(C107&lt;&gt;"",VLOOKUP(C107,ENSEIGNES!$B$2:$D971,2,FALSE),"")</f>
        <v>Direct</v>
      </c>
      <c r="E107" s="30" t="str">
        <f>IF(C107&lt;&gt;"",VLOOKUP(C107,ENSEIGNES!$B$2:$D971,3,FALSE),"")</f>
        <v>CAP FRAIS</v>
      </c>
      <c r="F107" s="81">
        <v>473.28</v>
      </c>
      <c r="G107" s="32">
        <f t="shared" si="7"/>
        <v>499.3104</v>
      </c>
      <c r="H107" s="34">
        <f>IF(D107="Direct",PARAMETRES!$C$20,IF(D107="Centrale",PARAMETRES!$C$21,0))</f>
        <v>0.07</v>
      </c>
      <c r="I107" s="38">
        <f t="shared" si="2"/>
        <v>33.1296</v>
      </c>
      <c r="J107" s="40">
        <f t="shared" si="3"/>
        <v>2</v>
      </c>
      <c r="K107" s="40">
        <f t="shared" si="4"/>
        <v>2026</v>
      </c>
      <c r="L107" s="30">
        <f t="shared" si="5"/>
        <v>1</v>
      </c>
    </row>
    <row r="108" ht="15.75" customHeight="1">
      <c r="A108" s="21">
        <v>46080.0</v>
      </c>
      <c r="B108" s="43" t="s">
        <v>278</v>
      </c>
      <c r="C108" s="43" t="s">
        <v>32</v>
      </c>
      <c r="D108" s="30" t="str">
        <f>IF(C108&lt;&gt;"",VLOOKUP(C108,ENSEIGNES!$B$2:$D971,2,FALSE),"")</f>
        <v>Direct</v>
      </c>
      <c r="E108" s="30" t="str">
        <f>IF(C108&lt;&gt;"",VLOOKUP(C108,ENSEIGNES!$B$2:$D971,3,FALSE),"")</f>
        <v>CAP FRAIS</v>
      </c>
      <c r="F108" s="81">
        <v>310.88</v>
      </c>
      <c r="G108" s="32">
        <f t="shared" si="7"/>
        <v>327.9784</v>
      </c>
      <c r="H108" s="34">
        <f>IF(D108="Direct",PARAMETRES!$C$20,IF(D108="Centrale",PARAMETRES!$C$21,0))</f>
        <v>0.07</v>
      </c>
      <c r="I108" s="38">
        <f t="shared" si="2"/>
        <v>21.7616</v>
      </c>
      <c r="J108" s="40">
        <f t="shared" si="3"/>
        <v>2</v>
      </c>
      <c r="K108" s="40">
        <f t="shared" si="4"/>
        <v>2026</v>
      </c>
      <c r="L108" s="30">
        <f t="shared" si="5"/>
        <v>1</v>
      </c>
    </row>
    <row r="109" ht="15.75" customHeight="1">
      <c r="A109" s="21">
        <v>46080.0</v>
      </c>
      <c r="B109" s="43" t="s">
        <v>279</v>
      </c>
      <c r="C109" s="43" t="s">
        <v>56</v>
      </c>
      <c r="D109" s="30" t="str">
        <f>IF(C109&lt;&gt;"",VLOOKUP(C109,ENSEIGNES!$B$2:$D971,2,FALSE),"")</f>
        <v>Direct</v>
      </c>
      <c r="E109" s="30" t="str">
        <f>IF(C109&lt;&gt;"",VLOOKUP(C109,ENSEIGNES!$B$2:$D971,3,FALSE),"")</f>
        <v>CAP FRAIS</v>
      </c>
      <c r="F109" s="81">
        <v>440.8</v>
      </c>
      <c r="G109" s="32">
        <f t="shared" si="7"/>
        <v>465.044</v>
      </c>
      <c r="H109" s="34">
        <f>IF(D109="Direct",PARAMETRES!$C$20,IF(D109="Centrale",PARAMETRES!$C$21,0))</f>
        <v>0.07</v>
      </c>
      <c r="I109" s="38">
        <f t="shared" si="2"/>
        <v>30.856</v>
      </c>
      <c r="J109" s="40">
        <f t="shared" si="3"/>
        <v>2</v>
      </c>
      <c r="K109" s="40">
        <f t="shared" si="4"/>
        <v>2026</v>
      </c>
      <c r="L109" s="30">
        <f t="shared" si="5"/>
        <v>0</v>
      </c>
    </row>
    <row r="110" ht="15.75" customHeight="1">
      <c r="A110" s="21">
        <v>46065.0</v>
      </c>
      <c r="B110" s="43" t="s">
        <v>280</v>
      </c>
      <c r="C110" s="43" t="s">
        <v>74</v>
      </c>
      <c r="D110" s="30" t="str">
        <f>IF(C110&lt;&gt;"",VLOOKUP(C110,ENSEIGNES!$B$2:$D971,2,FALSE),"")</f>
        <v>Direct</v>
      </c>
      <c r="E110" s="30" t="str">
        <f>IF(C110&lt;&gt;"",VLOOKUP(C110,ENSEIGNES!$B$2:$D971,3,FALSE),"")</f>
        <v>SCHLESSER</v>
      </c>
      <c r="F110" s="81">
        <v>320.16</v>
      </c>
      <c r="G110" s="32">
        <f t="shared" si="7"/>
        <v>337.7688</v>
      </c>
      <c r="H110" s="34">
        <f>IF(D110="Direct",PARAMETRES!$C$20,IF(D110="Centrale",PARAMETRES!$C$21,0))</f>
        <v>0.07</v>
      </c>
      <c r="I110" s="38">
        <f t="shared" si="2"/>
        <v>22.4112</v>
      </c>
      <c r="J110" s="40">
        <f t="shared" si="3"/>
        <v>2</v>
      </c>
      <c r="K110" s="40">
        <f t="shared" si="4"/>
        <v>2026</v>
      </c>
      <c r="L110" s="30">
        <f t="shared" si="5"/>
        <v>1</v>
      </c>
    </row>
    <row r="111" ht="15.75" customHeight="1">
      <c r="A111" s="21">
        <v>46078.0</v>
      </c>
      <c r="B111" s="43" t="s">
        <v>281</v>
      </c>
      <c r="C111" s="43" t="s">
        <v>66</v>
      </c>
      <c r="D111" s="30" t="str">
        <f>IF(C111&lt;&gt;"",VLOOKUP(C111,ENSEIGNES!$B$2:$D971,2,FALSE),"")</f>
        <v>Direct</v>
      </c>
      <c r="E111" s="30" t="str">
        <f>IF(C111&lt;&gt;"",VLOOKUP(C111,ENSEIGNES!$B$2:$D971,3,FALSE),"")</f>
        <v>SCHLESSER</v>
      </c>
      <c r="F111" s="81">
        <v>487.2</v>
      </c>
      <c r="G111" s="32">
        <f t="shared" si="7"/>
        <v>513.996</v>
      </c>
      <c r="H111" s="34">
        <f>IF(D111="Direct",PARAMETRES!$C$20,IF(D111="Centrale",PARAMETRES!$C$21,0))</f>
        <v>0.07</v>
      </c>
      <c r="I111" s="38">
        <f t="shared" si="2"/>
        <v>34.104</v>
      </c>
      <c r="J111" s="40">
        <f t="shared" si="3"/>
        <v>2</v>
      </c>
      <c r="K111" s="40">
        <f t="shared" si="4"/>
        <v>2026</v>
      </c>
      <c r="L111" s="30">
        <f t="shared" si="5"/>
        <v>0</v>
      </c>
    </row>
    <row r="112" ht="15.75" customHeight="1">
      <c r="A112" s="21">
        <v>46079.0</v>
      </c>
      <c r="B112" s="43" t="s">
        <v>282</v>
      </c>
      <c r="C112" s="43" t="s">
        <v>78</v>
      </c>
      <c r="D112" s="30" t="str">
        <f>IF(C112&lt;&gt;"",VLOOKUP(C112,ENSEIGNES!$B$2:$D971,2,FALSE),"")</f>
        <v>Direct</v>
      </c>
      <c r="E112" s="30" t="str">
        <f>IF(C112&lt;&gt;"",VLOOKUP(C112,ENSEIGNES!$B$2:$D971,3,FALSE),"")</f>
        <v>BROCARD</v>
      </c>
      <c r="F112" s="81">
        <v>445.44</v>
      </c>
      <c r="G112" s="32">
        <f t="shared" si="7"/>
        <v>469.9392</v>
      </c>
      <c r="H112" s="34">
        <f>IF(D112="Direct",PARAMETRES!$C$20,IF(D112="Centrale",PARAMETRES!$C$21,0))</f>
        <v>0.07</v>
      </c>
      <c r="I112" s="38">
        <f t="shared" si="2"/>
        <v>31.1808</v>
      </c>
      <c r="J112" s="40">
        <f t="shared" si="3"/>
        <v>2</v>
      </c>
      <c r="K112" s="40">
        <f t="shared" si="4"/>
        <v>2026</v>
      </c>
      <c r="L112" s="30">
        <f t="shared" si="5"/>
        <v>1</v>
      </c>
    </row>
    <row r="113" ht="15.75" customHeight="1">
      <c r="A113" s="21">
        <v>46069.0</v>
      </c>
      <c r="B113" s="43" t="s">
        <v>283</v>
      </c>
      <c r="C113" s="43" t="s">
        <v>62</v>
      </c>
      <c r="D113" s="30" t="str">
        <f>IF(C113&lt;&gt;"",VLOOKUP(C113,ENSEIGNES!$B$2:$D971,2,FALSE),"")</f>
        <v>Centrale</v>
      </c>
      <c r="E113" s="30" t="str">
        <f>IF(C113&lt;&gt;"",VLOOKUP(C113,ENSEIGNES!$B$2:$D971,3,FALSE),"")</f>
        <v>GMA GROUP</v>
      </c>
      <c r="F113" s="109">
        <v>1328.0</v>
      </c>
      <c r="G113" s="32"/>
      <c r="H113" s="34">
        <f>IF(D113="Direct",PARAMETRES!$C$20,IF(D113="Centrale",PARAMETRES!$C$21,0))</f>
        <v>0.05</v>
      </c>
      <c r="I113" s="38">
        <f t="shared" si="2"/>
        <v>66.4</v>
      </c>
      <c r="J113" s="40">
        <f t="shared" si="3"/>
        <v>2</v>
      </c>
      <c r="K113" s="40">
        <f t="shared" si="4"/>
        <v>2026</v>
      </c>
      <c r="L113" s="30">
        <f t="shared" si="5"/>
        <v>0</v>
      </c>
    </row>
    <row r="114" ht="15.75" customHeight="1">
      <c r="A114" s="21">
        <v>46071.0</v>
      </c>
      <c r="B114" s="43" t="s">
        <v>284</v>
      </c>
      <c r="C114" s="43" t="s">
        <v>62</v>
      </c>
      <c r="D114" s="30" t="str">
        <f>IF(C114&lt;&gt;"",VLOOKUP(C114,ENSEIGNES!$B$2:$D971,2,FALSE),"")</f>
        <v>Centrale</v>
      </c>
      <c r="E114" s="30" t="str">
        <f>IF(C114&lt;&gt;"",VLOOKUP(C114,ENSEIGNES!$B$2:$D971,3,FALSE),"")</f>
        <v>GMA GROUP</v>
      </c>
      <c r="F114" s="109">
        <v>1259.84</v>
      </c>
      <c r="G114" s="32"/>
      <c r="H114" s="34">
        <f>IF(D114="Direct",PARAMETRES!$C$20,IF(D114="Centrale",PARAMETRES!$C$21,0))</f>
        <v>0.05</v>
      </c>
      <c r="I114" s="38">
        <f t="shared" si="2"/>
        <v>62.992</v>
      </c>
      <c r="J114" s="40">
        <f t="shared" si="3"/>
        <v>2</v>
      </c>
      <c r="K114" s="40">
        <f t="shared" si="4"/>
        <v>2026</v>
      </c>
      <c r="L114" s="30">
        <f t="shared" si="5"/>
        <v>0</v>
      </c>
    </row>
    <row r="115" ht="15.75" customHeight="1">
      <c r="A115" s="21">
        <v>46071.0</v>
      </c>
      <c r="B115" s="43" t="s">
        <v>285</v>
      </c>
      <c r="C115" s="43" t="s">
        <v>62</v>
      </c>
      <c r="D115" s="30" t="str">
        <f>IF(C115&lt;&gt;"",VLOOKUP(C115,ENSEIGNES!$B$2:$D971,2,FALSE),"")</f>
        <v>Centrale</v>
      </c>
      <c r="E115" s="30" t="str">
        <f>IF(C115&lt;&gt;"",VLOOKUP(C115,ENSEIGNES!$B$2:$D971,3,FALSE),"")</f>
        <v>GMA GROUP</v>
      </c>
      <c r="F115" s="109">
        <v>1425.6</v>
      </c>
      <c r="G115" s="32"/>
      <c r="H115" s="34">
        <f>IF(D115="Direct",PARAMETRES!$C$20,IF(D115="Centrale",PARAMETRES!$C$21,0))</f>
        <v>0.05</v>
      </c>
      <c r="I115" s="38">
        <f t="shared" si="2"/>
        <v>71.28</v>
      </c>
      <c r="J115" s="40">
        <f t="shared" si="3"/>
        <v>2</v>
      </c>
      <c r="K115" s="40">
        <f t="shared" si="4"/>
        <v>2026</v>
      </c>
      <c r="L115" s="30">
        <f t="shared" si="5"/>
        <v>0</v>
      </c>
    </row>
    <row r="116" ht="15.75" customHeight="1">
      <c r="A116" s="21">
        <v>46076.0</v>
      </c>
      <c r="B116" s="43" t="s">
        <v>286</v>
      </c>
      <c r="C116" s="43" t="s">
        <v>62</v>
      </c>
      <c r="D116" s="30" t="str">
        <f>IF(C116&lt;&gt;"",VLOOKUP(C116,ENSEIGNES!$B$2:$D971,2,FALSE),"")</f>
        <v>Centrale</v>
      </c>
      <c r="E116" s="30" t="str">
        <f>IF(C116&lt;&gt;"",VLOOKUP(C116,ENSEIGNES!$B$2:$D971,3,FALSE),"")</f>
        <v>GMA GROUP</v>
      </c>
      <c r="F116" s="109">
        <v>1425.6</v>
      </c>
      <c r="G116" s="32"/>
      <c r="H116" s="34">
        <f>IF(D116="Direct",PARAMETRES!$C$20,IF(D116="Centrale",PARAMETRES!$C$21,0))</f>
        <v>0.05</v>
      </c>
      <c r="I116" s="38">
        <f t="shared" si="2"/>
        <v>71.28</v>
      </c>
      <c r="J116" s="40">
        <f t="shared" si="3"/>
        <v>2</v>
      </c>
      <c r="K116" s="40">
        <f t="shared" si="4"/>
        <v>2026</v>
      </c>
      <c r="L116" s="30">
        <f t="shared" si="5"/>
        <v>0</v>
      </c>
    </row>
    <row r="117" ht="15.75" customHeight="1">
      <c r="A117" s="21">
        <v>46065.0</v>
      </c>
      <c r="B117" s="43" t="s">
        <v>287</v>
      </c>
      <c r="C117" s="43" t="s">
        <v>37</v>
      </c>
      <c r="D117" s="30" t="str">
        <f>IF(C117&lt;&gt;"",VLOOKUP(C117,ENSEIGNES!$B$2:$D971,2,FALSE),"")</f>
        <v>Centrale</v>
      </c>
      <c r="E117" s="30" t="str">
        <f>IF(C117&lt;&gt;"",VLOOKUP(C117,ENSEIGNES!$B$2:$D971,3,FALSE),"")</f>
        <v>CAP FRAIS</v>
      </c>
      <c r="F117" s="109">
        <v>4811.95</v>
      </c>
      <c r="G117" s="32">
        <f t="shared" ref="G117:G200" si="8">F117*(1+5.5%)</f>
        <v>5076.60725</v>
      </c>
      <c r="H117" s="34">
        <f>IF(D117="Direct",PARAMETRES!$C$20,IF(D117="Centrale",PARAMETRES!$C$21,0))</f>
        <v>0.05</v>
      </c>
      <c r="I117" s="38">
        <f t="shared" si="2"/>
        <v>240.5975</v>
      </c>
      <c r="J117" s="40">
        <f t="shared" si="3"/>
        <v>2</v>
      </c>
      <c r="K117" s="40">
        <f t="shared" si="4"/>
        <v>2026</v>
      </c>
      <c r="L117" s="30">
        <f t="shared" si="5"/>
        <v>0</v>
      </c>
    </row>
    <row r="118" ht="15.75" customHeight="1">
      <c r="A118" s="21">
        <v>46065.0</v>
      </c>
      <c r="B118" s="43" t="s">
        <v>288</v>
      </c>
      <c r="C118" s="43" t="s">
        <v>37</v>
      </c>
      <c r="D118" s="30" t="str">
        <f>IF(C118&lt;&gt;"",VLOOKUP(C118,ENSEIGNES!$B$2:$D971,2,FALSE),"")</f>
        <v>Centrale</v>
      </c>
      <c r="E118" s="30" t="str">
        <f>IF(C118&lt;&gt;"",VLOOKUP(C118,ENSEIGNES!$B$2:$D971,3,FALSE),"")</f>
        <v>CAP FRAIS</v>
      </c>
      <c r="F118" s="109">
        <v>512.66</v>
      </c>
      <c r="G118" s="32">
        <f t="shared" si="8"/>
        <v>540.8563</v>
      </c>
      <c r="H118" s="34">
        <f>IF(D118="Direct",PARAMETRES!$C$20,IF(D118="Centrale",PARAMETRES!$C$21,0))</f>
        <v>0.05</v>
      </c>
      <c r="I118" s="38">
        <f t="shared" si="2"/>
        <v>25.633</v>
      </c>
      <c r="J118" s="40">
        <f t="shared" si="3"/>
        <v>2</v>
      </c>
      <c r="K118" s="40">
        <f t="shared" si="4"/>
        <v>2026</v>
      </c>
      <c r="L118" s="30">
        <f t="shared" si="5"/>
        <v>0</v>
      </c>
    </row>
    <row r="119" ht="15.75" customHeight="1">
      <c r="A119" s="21">
        <v>46070.0</v>
      </c>
      <c r="B119" s="43" t="s">
        <v>289</v>
      </c>
      <c r="C119" s="43" t="s">
        <v>37</v>
      </c>
      <c r="D119" s="30" t="str">
        <f>IF(C119&lt;&gt;"",VLOOKUP(C119,ENSEIGNES!$B$2:$D971,2,FALSE),"")</f>
        <v>Centrale</v>
      </c>
      <c r="E119" s="30" t="str">
        <f>IF(C119&lt;&gt;"",VLOOKUP(C119,ENSEIGNES!$B$2:$D971,3,FALSE),"")</f>
        <v>CAP FRAIS</v>
      </c>
      <c r="F119" s="109">
        <v>2354.05</v>
      </c>
      <c r="G119" s="32">
        <f t="shared" si="8"/>
        <v>2483.52275</v>
      </c>
      <c r="H119" s="34">
        <f>IF(D119="Direct",PARAMETRES!$C$20,IF(D119="Centrale",PARAMETRES!$C$21,0))</f>
        <v>0.05</v>
      </c>
      <c r="I119" s="38">
        <f t="shared" si="2"/>
        <v>117.7025</v>
      </c>
      <c r="J119" s="40">
        <f t="shared" si="3"/>
        <v>2</v>
      </c>
      <c r="K119" s="40">
        <f t="shared" si="4"/>
        <v>2026</v>
      </c>
      <c r="L119" s="30">
        <f t="shared" si="5"/>
        <v>0</v>
      </c>
    </row>
    <row r="120" ht="15.75" customHeight="1">
      <c r="A120" s="21">
        <v>46070.0</v>
      </c>
      <c r="B120" s="43" t="s">
        <v>290</v>
      </c>
      <c r="C120" s="43" t="s">
        <v>37</v>
      </c>
      <c r="D120" s="30" t="str">
        <f>IF(C120&lt;&gt;"",VLOOKUP(C120,ENSEIGNES!$B$2:$D971,2,FALSE),"")</f>
        <v>Centrale</v>
      </c>
      <c r="E120" s="30" t="str">
        <f>IF(C120&lt;&gt;"",VLOOKUP(C120,ENSEIGNES!$B$2:$D971,3,FALSE),"")</f>
        <v>CAP FRAIS</v>
      </c>
      <c r="F120" s="109">
        <v>379.11</v>
      </c>
      <c r="G120" s="32">
        <f t="shared" si="8"/>
        <v>399.96105</v>
      </c>
      <c r="H120" s="34">
        <f>IF(D120="Direct",PARAMETRES!$C$20,IF(D120="Centrale",PARAMETRES!$C$21,0))</f>
        <v>0.05</v>
      </c>
      <c r="I120" s="38">
        <f t="shared" si="2"/>
        <v>18.9555</v>
      </c>
      <c r="J120" s="40">
        <f t="shared" si="3"/>
        <v>2</v>
      </c>
      <c r="K120" s="40">
        <f t="shared" si="4"/>
        <v>2026</v>
      </c>
      <c r="L120" s="30">
        <f t="shared" si="5"/>
        <v>0</v>
      </c>
    </row>
    <row r="121" ht="15.75" customHeight="1">
      <c r="A121" s="21">
        <v>46072.0</v>
      </c>
      <c r="B121" s="43" t="s">
        <v>292</v>
      </c>
      <c r="C121" s="43" t="s">
        <v>37</v>
      </c>
      <c r="D121" s="30" t="str">
        <f>IF(C121&lt;&gt;"",VLOOKUP(C121,ENSEIGNES!$B$2:$D971,2,FALSE),"")</f>
        <v>Centrale</v>
      </c>
      <c r="E121" s="30" t="str">
        <f>IF(C121&lt;&gt;"",VLOOKUP(C121,ENSEIGNES!$B$2:$D971,3,FALSE),"")</f>
        <v>CAP FRAIS</v>
      </c>
      <c r="F121" s="109">
        <v>374.8</v>
      </c>
      <c r="G121" s="32">
        <f t="shared" si="8"/>
        <v>395.414</v>
      </c>
      <c r="H121" s="34">
        <f>IF(D121="Direct",PARAMETRES!$C$20,IF(D121="Centrale",PARAMETRES!$C$21,0))</f>
        <v>0.05</v>
      </c>
      <c r="I121" s="38">
        <f t="shared" si="2"/>
        <v>18.74</v>
      </c>
      <c r="J121" s="40">
        <f t="shared" si="3"/>
        <v>2</v>
      </c>
      <c r="K121" s="40">
        <f t="shared" si="4"/>
        <v>2026</v>
      </c>
      <c r="L121" s="30">
        <f t="shared" si="5"/>
        <v>0</v>
      </c>
    </row>
    <row r="122" ht="15.75" customHeight="1">
      <c r="A122" s="21">
        <v>46077.0</v>
      </c>
      <c r="B122" s="43" t="s">
        <v>293</v>
      </c>
      <c r="C122" s="43" t="s">
        <v>37</v>
      </c>
      <c r="D122" s="30" t="str">
        <f>IF(C122&lt;&gt;"",VLOOKUP(C122,ENSEIGNES!$B$2:$D971,2,FALSE),"")</f>
        <v>Centrale</v>
      </c>
      <c r="E122" s="30" t="str">
        <f>IF(C122&lt;&gt;"",VLOOKUP(C122,ENSEIGNES!$B$2:$D971,3,FALSE),"")</f>
        <v>CAP FRAIS</v>
      </c>
      <c r="F122" s="109">
        <v>542.35</v>
      </c>
      <c r="G122" s="32">
        <f t="shared" si="8"/>
        <v>572.17925</v>
      </c>
      <c r="H122" s="34">
        <f>IF(D122="Direct",PARAMETRES!$C$20,IF(D122="Centrale",PARAMETRES!$C$21,0))</f>
        <v>0.05</v>
      </c>
      <c r="I122" s="38">
        <f t="shared" si="2"/>
        <v>27.1175</v>
      </c>
      <c r="J122" s="40">
        <f t="shared" si="3"/>
        <v>2</v>
      </c>
      <c r="K122" s="40">
        <f t="shared" si="4"/>
        <v>2026</v>
      </c>
      <c r="L122" s="30">
        <f t="shared" si="5"/>
        <v>0</v>
      </c>
    </row>
    <row r="123" ht="15.75" customHeight="1">
      <c r="A123" s="21">
        <v>46077.0</v>
      </c>
      <c r="B123" s="43" t="s">
        <v>294</v>
      </c>
      <c r="C123" s="43" t="s">
        <v>37</v>
      </c>
      <c r="D123" s="30" t="str">
        <f>IF(C123&lt;&gt;"",VLOOKUP(C123,ENSEIGNES!$B$2:$D971,2,FALSE),"")</f>
        <v>Centrale</v>
      </c>
      <c r="E123" s="30" t="str">
        <f>IF(C123&lt;&gt;"",VLOOKUP(C123,ENSEIGNES!$B$2:$D971,3,FALSE),"")</f>
        <v>CAP FRAIS</v>
      </c>
      <c r="F123" s="109">
        <v>784.07</v>
      </c>
      <c r="G123" s="32">
        <f t="shared" si="8"/>
        <v>827.19385</v>
      </c>
      <c r="H123" s="34">
        <f>IF(D123="Direct",PARAMETRES!$C$20,IF(D123="Centrale",PARAMETRES!$C$21,0))</f>
        <v>0.05</v>
      </c>
      <c r="I123" s="38">
        <f t="shared" si="2"/>
        <v>39.2035</v>
      </c>
      <c r="J123" s="40">
        <f t="shared" si="3"/>
        <v>2</v>
      </c>
      <c r="K123" s="40">
        <f t="shared" si="4"/>
        <v>2026</v>
      </c>
      <c r="L123" s="30">
        <f t="shared" si="5"/>
        <v>0</v>
      </c>
    </row>
    <row r="124" ht="15.75" customHeight="1">
      <c r="A124" s="21">
        <v>46079.0</v>
      </c>
      <c r="B124" s="43" t="s">
        <v>295</v>
      </c>
      <c r="C124" s="43" t="s">
        <v>37</v>
      </c>
      <c r="D124" s="30" t="str">
        <f>IF(C124&lt;&gt;"",VLOOKUP(C124,ENSEIGNES!$B$2:$D971,2,FALSE),"")</f>
        <v>Centrale</v>
      </c>
      <c r="E124" s="30" t="str">
        <f>IF(C124&lt;&gt;"",VLOOKUP(C124,ENSEIGNES!$B$2:$D971,3,FALSE),"")</f>
        <v>CAP FRAIS</v>
      </c>
      <c r="F124" s="109">
        <v>590.2</v>
      </c>
      <c r="G124" s="32">
        <f t="shared" si="8"/>
        <v>622.661</v>
      </c>
      <c r="H124" s="34">
        <f>IF(D124="Direct",PARAMETRES!$C$20,IF(D124="Centrale",PARAMETRES!$C$21,0))</f>
        <v>0.05</v>
      </c>
      <c r="I124" s="38">
        <f t="shared" si="2"/>
        <v>29.51</v>
      </c>
      <c r="J124" s="40">
        <f t="shared" si="3"/>
        <v>2</v>
      </c>
      <c r="K124" s="40">
        <f t="shared" si="4"/>
        <v>2026</v>
      </c>
      <c r="L124" s="30">
        <f t="shared" si="5"/>
        <v>0</v>
      </c>
    </row>
    <row r="125" ht="15.75" customHeight="1">
      <c r="A125" s="21">
        <v>46079.0</v>
      </c>
      <c r="B125" s="21" t="s">
        <v>296</v>
      </c>
      <c r="C125" s="43" t="s">
        <v>61</v>
      </c>
      <c r="D125" s="30" t="str">
        <f>IF(C125&lt;&gt;"",VLOOKUP(C125,ENSEIGNES!$B$2:$D971,2,FALSE),"")</f>
        <v>Direct</v>
      </c>
      <c r="E125" s="30" t="str">
        <f>IF(C125&lt;&gt;"",VLOOKUP(C125,ENSEIGNES!$B$2:$D971,3,FALSE),"")</f>
        <v>BROCARD</v>
      </c>
      <c r="F125" s="109">
        <v>487.2</v>
      </c>
      <c r="G125" s="32">
        <f t="shared" si="8"/>
        <v>513.996</v>
      </c>
      <c r="H125" s="34">
        <f>IF(D125="Direct",PARAMETRES!$C$20,IF(D125="Centrale",PARAMETRES!$C$21,0))</f>
        <v>0.07</v>
      </c>
      <c r="I125" s="38">
        <f t="shared" si="2"/>
        <v>34.104</v>
      </c>
      <c r="J125" s="40">
        <f t="shared" si="3"/>
        <v>2</v>
      </c>
      <c r="K125" s="40">
        <f t="shared" si="4"/>
        <v>2026</v>
      </c>
      <c r="L125" s="30">
        <f t="shared" si="5"/>
        <v>0</v>
      </c>
    </row>
    <row r="126" ht="15.75" customHeight="1">
      <c r="A126" s="21">
        <v>46066.0</v>
      </c>
      <c r="B126" s="21" t="s">
        <v>306</v>
      </c>
      <c r="C126" s="43" t="s">
        <v>61</v>
      </c>
      <c r="D126" s="30" t="str">
        <f>IF(C126&lt;&gt;"",VLOOKUP(C126,ENSEIGNES!$B$2:$D971,2,FALSE),"")</f>
        <v>Direct</v>
      </c>
      <c r="E126" s="30" t="str">
        <f>IF(C126&lt;&gt;"",VLOOKUP(C126,ENSEIGNES!$B$2:$D971,3,FALSE),"")</f>
        <v>BROCARD</v>
      </c>
      <c r="F126" s="109">
        <v>371.2</v>
      </c>
      <c r="G126" s="32">
        <f t="shared" si="8"/>
        <v>391.616</v>
      </c>
      <c r="H126" s="34">
        <f>IF(D126="Direct",PARAMETRES!$C$20,IF(D126="Centrale",PARAMETRES!$C$21,0))</f>
        <v>0.07</v>
      </c>
      <c r="I126" s="38">
        <f t="shared" si="2"/>
        <v>25.984</v>
      </c>
      <c r="J126" s="40">
        <f t="shared" si="3"/>
        <v>2</v>
      </c>
      <c r="K126" s="40">
        <f t="shared" si="4"/>
        <v>2026</v>
      </c>
      <c r="L126" s="30">
        <f t="shared" si="5"/>
        <v>0</v>
      </c>
    </row>
    <row r="127" ht="15.75" customHeight="1">
      <c r="A127" s="21">
        <v>46066.0</v>
      </c>
      <c r="B127" s="21" t="s">
        <v>307</v>
      </c>
      <c r="C127" s="43" t="s">
        <v>7</v>
      </c>
      <c r="D127" s="30" t="str">
        <f>IF(C127&lt;&gt;"",VLOOKUP(C127,ENSEIGNES!$B$2:$D971,2,FALSE),"")</f>
        <v>Centrale</v>
      </c>
      <c r="E127" s="30" t="str">
        <f>IF(C127&lt;&gt;"",VLOOKUP(C127,ENSEIGNES!$B$2:$D971,3,FALSE),"")</f>
        <v>BROCARD</v>
      </c>
      <c r="F127" s="109">
        <v>258.48</v>
      </c>
      <c r="G127" s="32">
        <f t="shared" si="8"/>
        <v>272.6964</v>
      </c>
      <c r="H127" s="34">
        <f>IF(D127="Direct",PARAMETRES!$C$20,IF(D127="Centrale",PARAMETRES!$C$21,0))</f>
        <v>0.05</v>
      </c>
      <c r="I127" s="38">
        <f t="shared" si="2"/>
        <v>12.924</v>
      </c>
      <c r="J127" s="40">
        <f t="shared" si="3"/>
        <v>2</v>
      </c>
      <c r="K127" s="40">
        <f t="shared" si="4"/>
        <v>2026</v>
      </c>
      <c r="L127" s="30">
        <f t="shared" si="5"/>
        <v>1</v>
      </c>
    </row>
    <row r="128" ht="15.75" customHeight="1">
      <c r="A128" s="21">
        <v>46066.0</v>
      </c>
      <c r="B128" s="21" t="s">
        <v>308</v>
      </c>
      <c r="C128" s="43" t="s">
        <v>7</v>
      </c>
      <c r="D128" s="30" t="str">
        <f>IF(C128&lt;&gt;"",VLOOKUP(C128,ENSEIGNES!$B$2:$D971,2,FALSE),"")</f>
        <v>Centrale</v>
      </c>
      <c r="E128" s="30" t="str">
        <f>IF(C128&lt;&gt;"",VLOOKUP(C128,ENSEIGNES!$B$2:$D971,3,FALSE),"")</f>
        <v>BROCARD</v>
      </c>
      <c r="F128" s="109">
        <v>280.02</v>
      </c>
      <c r="G128" s="32">
        <f t="shared" si="8"/>
        <v>295.4211</v>
      </c>
      <c r="H128" s="34">
        <f>IF(D128="Direct",PARAMETRES!$C$20,IF(D128="Centrale",PARAMETRES!$C$21,0))</f>
        <v>0.05</v>
      </c>
      <c r="I128" s="38">
        <f t="shared" si="2"/>
        <v>14.001</v>
      </c>
      <c r="J128" s="40">
        <f t="shared" si="3"/>
        <v>2</v>
      </c>
      <c r="K128" s="40">
        <f t="shared" si="4"/>
        <v>2026</v>
      </c>
      <c r="L128" s="30">
        <f t="shared" si="5"/>
        <v>0</v>
      </c>
    </row>
    <row r="129" ht="15.75" customHeight="1">
      <c r="A129" s="21">
        <v>46066.0</v>
      </c>
      <c r="B129" s="21" t="s">
        <v>309</v>
      </c>
      <c r="C129" s="43" t="s">
        <v>7</v>
      </c>
      <c r="D129" s="30" t="str">
        <f>IF(C129&lt;&gt;"",VLOOKUP(C129,ENSEIGNES!$B$2:$D971,2,FALSE),"")</f>
        <v>Centrale</v>
      </c>
      <c r="E129" s="30" t="str">
        <f>IF(C129&lt;&gt;"",VLOOKUP(C129,ENSEIGNES!$B$2:$D971,3,FALSE),"")</f>
        <v>BROCARD</v>
      </c>
      <c r="F129" s="109">
        <v>116.32</v>
      </c>
      <c r="G129" s="32">
        <f t="shared" si="8"/>
        <v>122.7176</v>
      </c>
      <c r="H129" s="34">
        <f>IF(D129="Direct",PARAMETRES!$C$20,IF(D129="Centrale",PARAMETRES!$C$21,0))</f>
        <v>0.05</v>
      </c>
      <c r="I129" s="38">
        <f t="shared" si="2"/>
        <v>5.816</v>
      </c>
      <c r="J129" s="40">
        <f t="shared" si="3"/>
        <v>2</v>
      </c>
      <c r="K129" s="40">
        <f t="shared" si="4"/>
        <v>2026</v>
      </c>
      <c r="L129" s="30">
        <f t="shared" si="5"/>
        <v>0</v>
      </c>
    </row>
    <row r="130" ht="15.75" customHeight="1">
      <c r="A130" s="21">
        <v>46069.0</v>
      </c>
      <c r="B130" s="21" t="s">
        <v>310</v>
      </c>
      <c r="C130" s="43" t="s">
        <v>7</v>
      </c>
      <c r="D130" s="30" t="str">
        <f>IF(C130&lt;&gt;"",VLOOKUP(C130,ENSEIGNES!$B$2:$D971,2,FALSE),"")</f>
        <v>Centrale</v>
      </c>
      <c r="E130" s="30" t="str">
        <f>IF(C130&lt;&gt;"",VLOOKUP(C130,ENSEIGNES!$B$2:$D971,3,FALSE),"")</f>
        <v>BROCARD</v>
      </c>
      <c r="F130" s="109">
        <v>254.18</v>
      </c>
      <c r="G130" s="32">
        <f t="shared" si="8"/>
        <v>268.1599</v>
      </c>
      <c r="H130" s="34">
        <f>IF(D130="Direct",PARAMETRES!$C$20,IF(D130="Centrale",PARAMETRES!$C$21,0))</f>
        <v>0.05</v>
      </c>
      <c r="I130" s="38">
        <f t="shared" si="2"/>
        <v>12.709</v>
      </c>
      <c r="J130" s="40">
        <f t="shared" si="3"/>
        <v>2</v>
      </c>
      <c r="K130" s="40">
        <f t="shared" si="4"/>
        <v>2026</v>
      </c>
      <c r="L130" s="30">
        <f t="shared" si="5"/>
        <v>0</v>
      </c>
    </row>
    <row r="131" ht="15.75" customHeight="1">
      <c r="A131" s="21">
        <v>46071.0</v>
      </c>
      <c r="B131" s="21" t="s">
        <v>311</v>
      </c>
      <c r="C131" s="43" t="s">
        <v>7</v>
      </c>
      <c r="D131" s="30" t="str">
        <f>IF(C131&lt;&gt;"",VLOOKUP(C131,ENSEIGNES!$B$2:$D971,2,FALSE),"")</f>
        <v>Centrale</v>
      </c>
      <c r="E131" s="30" t="str">
        <f>IF(C131&lt;&gt;"",VLOOKUP(C131,ENSEIGNES!$B$2:$D971,3,FALSE),"")</f>
        <v>BROCARD</v>
      </c>
      <c r="F131" s="109">
        <v>594.51</v>
      </c>
      <c r="G131" s="32">
        <f t="shared" si="8"/>
        <v>627.20805</v>
      </c>
      <c r="H131" s="34">
        <f>IF(D131="Direct",PARAMETRES!$C$20,IF(D131="Centrale",PARAMETRES!$C$21,0))</f>
        <v>0.05</v>
      </c>
      <c r="I131" s="38">
        <f t="shared" si="2"/>
        <v>29.7255</v>
      </c>
      <c r="J131" s="40">
        <f t="shared" si="3"/>
        <v>2</v>
      </c>
      <c r="K131" s="40">
        <f t="shared" si="4"/>
        <v>2026</v>
      </c>
      <c r="L131" s="30">
        <f t="shared" si="5"/>
        <v>0</v>
      </c>
    </row>
    <row r="132" ht="15.75" customHeight="1">
      <c r="A132" s="21">
        <v>46071.0</v>
      </c>
      <c r="B132" s="21" t="s">
        <v>312</v>
      </c>
      <c r="C132" s="43" t="s">
        <v>7</v>
      </c>
      <c r="D132" s="30" t="str">
        <f>IF(C132&lt;&gt;"",VLOOKUP(C132,ENSEIGNES!$B$2:$D971,2,FALSE),"")</f>
        <v>Centrale</v>
      </c>
      <c r="E132" s="30" t="str">
        <f>IF(C132&lt;&gt;"",VLOOKUP(C132,ENSEIGNES!$B$2:$D971,3,FALSE),"")</f>
        <v>BROCARD</v>
      </c>
      <c r="F132" s="109">
        <v>297.26</v>
      </c>
      <c r="G132" s="32">
        <f t="shared" si="8"/>
        <v>313.6093</v>
      </c>
      <c r="H132" s="34">
        <f>IF(D132="Direct",PARAMETRES!$C$20,IF(D132="Centrale",PARAMETRES!$C$21,0))</f>
        <v>0.05</v>
      </c>
      <c r="I132" s="38">
        <f t="shared" si="2"/>
        <v>14.863</v>
      </c>
      <c r="J132" s="40">
        <f t="shared" si="3"/>
        <v>2</v>
      </c>
      <c r="K132" s="40">
        <f t="shared" si="4"/>
        <v>2026</v>
      </c>
      <c r="L132" s="30">
        <f t="shared" si="5"/>
        <v>0</v>
      </c>
    </row>
    <row r="133" ht="15.75" customHeight="1">
      <c r="A133" s="21">
        <v>46071.0</v>
      </c>
      <c r="B133" s="21" t="s">
        <v>313</v>
      </c>
      <c r="C133" s="43" t="s">
        <v>7</v>
      </c>
      <c r="D133" s="30" t="str">
        <f>IF(C133&lt;&gt;"",VLOOKUP(C133,ENSEIGNES!$B$2:$D971,2,FALSE),"")</f>
        <v>Centrale</v>
      </c>
      <c r="E133" s="30" t="str">
        <f>IF(C133&lt;&gt;"",VLOOKUP(C133,ENSEIGNES!$B$2:$D971,3,FALSE),"")</f>
        <v>BROCARD</v>
      </c>
      <c r="F133" s="109">
        <v>288.64</v>
      </c>
      <c r="G133" s="32">
        <f t="shared" si="8"/>
        <v>304.5152</v>
      </c>
      <c r="H133" s="34">
        <f>IF(D133="Direct",PARAMETRES!$C$20,IF(D133="Centrale",PARAMETRES!$C$21,0))</f>
        <v>0.05</v>
      </c>
      <c r="I133" s="38">
        <f t="shared" si="2"/>
        <v>14.432</v>
      </c>
      <c r="J133" s="40">
        <f t="shared" si="3"/>
        <v>2</v>
      </c>
      <c r="K133" s="40">
        <f t="shared" si="4"/>
        <v>2026</v>
      </c>
      <c r="L133" s="30">
        <f t="shared" si="5"/>
        <v>0</v>
      </c>
    </row>
    <row r="134" ht="15.75" customHeight="1">
      <c r="A134" s="21">
        <v>46073.0</v>
      </c>
      <c r="B134" s="21" t="s">
        <v>314</v>
      </c>
      <c r="C134" s="43" t="s">
        <v>7</v>
      </c>
      <c r="D134" s="30" t="str">
        <f>IF(C134&lt;&gt;"",VLOOKUP(C134,ENSEIGNES!$B$2:$D971,2,FALSE),"")</f>
        <v>Centrale</v>
      </c>
      <c r="E134" s="30" t="str">
        <f>IF(C134&lt;&gt;"",VLOOKUP(C134,ENSEIGNES!$B$2:$D971,3,FALSE),"")</f>
        <v>BROCARD</v>
      </c>
      <c r="F134" s="109">
        <v>547.12</v>
      </c>
      <c r="G134" s="32">
        <f t="shared" si="8"/>
        <v>577.2116</v>
      </c>
      <c r="H134" s="34">
        <f>IF(D134="Direct",PARAMETRES!$C$20,IF(D134="Centrale",PARAMETRES!$C$21,0))</f>
        <v>0.05</v>
      </c>
      <c r="I134" s="38">
        <f t="shared" si="2"/>
        <v>27.356</v>
      </c>
      <c r="J134" s="40">
        <f t="shared" si="3"/>
        <v>2</v>
      </c>
      <c r="K134" s="40">
        <f t="shared" si="4"/>
        <v>2026</v>
      </c>
      <c r="L134" s="30">
        <f t="shared" si="5"/>
        <v>0</v>
      </c>
    </row>
    <row r="135" ht="15.75" customHeight="1">
      <c r="A135" s="21">
        <v>46073.0</v>
      </c>
      <c r="B135" s="21" t="s">
        <v>315</v>
      </c>
      <c r="C135" s="43" t="s">
        <v>7</v>
      </c>
      <c r="D135" s="30" t="str">
        <f>IF(C135&lt;&gt;"",VLOOKUP(C135,ENSEIGNES!$B$2:$D971,2,FALSE),"")</f>
        <v>Centrale</v>
      </c>
      <c r="E135" s="30" t="str">
        <f>IF(C135&lt;&gt;"",VLOOKUP(C135,ENSEIGNES!$B$2:$D971,3,FALSE),"")</f>
        <v>BROCARD</v>
      </c>
      <c r="F135" s="109">
        <v>193.86</v>
      </c>
      <c r="G135" s="32">
        <f t="shared" si="8"/>
        <v>204.5223</v>
      </c>
      <c r="H135" s="34">
        <f>IF(D135="Direct",PARAMETRES!$C$20,IF(D135="Centrale",PARAMETRES!$C$21,0))</f>
        <v>0.05</v>
      </c>
      <c r="I135" s="38">
        <f t="shared" si="2"/>
        <v>9.693</v>
      </c>
      <c r="J135" s="40">
        <f t="shared" si="3"/>
        <v>2</v>
      </c>
      <c r="K135" s="40">
        <f t="shared" si="4"/>
        <v>2026</v>
      </c>
      <c r="L135" s="30">
        <f t="shared" si="5"/>
        <v>0</v>
      </c>
    </row>
    <row r="136" ht="15.75" customHeight="1">
      <c r="A136" s="21">
        <v>46076.0</v>
      </c>
      <c r="B136" s="21" t="s">
        <v>316</v>
      </c>
      <c r="C136" s="43" t="s">
        <v>7</v>
      </c>
      <c r="D136" s="30" t="str">
        <f>IF(C136&lt;&gt;"",VLOOKUP(C136,ENSEIGNES!$B$2:$D971,2,FALSE),"")</f>
        <v>Centrale</v>
      </c>
      <c r="E136" s="30" t="str">
        <f>IF(C136&lt;&gt;"",VLOOKUP(C136,ENSEIGNES!$B$2:$D971,3,FALSE),"")</f>
        <v>BROCARD</v>
      </c>
      <c r="F136" s="109">
        <v>654.82</v>
      </c>
      <c r="G136" s="32">
        <f t="shared" si="8"/>
        <v>690.8351</v>
      </c>
      <c r="H136" s="34">
        <f>IF(D136="Direct",PARAMETRES!$C$20,IF(D136="Centrale",PARAMETRES!$C$21,0))</f>
        <v>0.05</v>
      </c>
      <c r="I136" s="38">
        <f t="shared" si="2"/>
        <v>32.741</v>
      </c>
      <c r="J136" s="40">
        <f t="shared" si="3"/>
        <v>2</v>
      </c>
      <c r="K136" s="40">
        <f t="shared" si="4"/>
        <v>2026</v>
      </c>
      <c r="L136" s="30">
        <f t="shared" si="5"/>
        <v>0</v>
      </c>
    </row>
    <row r="137" ht="15.75" customHeight="1">
      <c r="A137" s="21">
        <v>46076.0</v>
      </c>
      <c r="B137" s="21" t="s">
        <v>317</v>
      </c>
      <c r="C137" s="43" t="s">
        <v>7</v>
      </c>
      <c r="D137" s="30" t="str">
        <f>IF(C137&lt;&gt;"",VLOOKUP(C137,ENSEIGNES!$B$2:$D971,2,FALSE),"")</f>
        <v>Centrale</v>
      </c>
      <c r="E137" s="30" t="str">
        <f>IF(C137&lt;&gt;"",VLOOKUP(C137,ENSEIGNES!$B$2:$D971,3,FALSE),"")</f>
        <v>BROCARD</v>
      </c>
      <c r="F137" s="109">
        <v>245.56</v>
      </c>
      <c r="G137" s="32">
        <f t="shared" si="8"/>
        <v>259.0658</v>
      </c>
      <c r="H137" s="34">
        <f>IF(D137="Direct",PARAMETRES!$C$20,IF(D137="Centrale",PARAMETRES!$C$21,0))</f>
        <v>0.05</v>
      </c>
      <c r="I137" s="38">
        <f t="shared" si="2"/>
        <v>12.278</v>
      </c>
      <c r="J137" s="40">
        <f t="shared" si="3"/>
        <v>2</v>
      </c>
      <c r="K137" s="40">
        <f t="shared" si="4"/>
        <v>2026</v>
      </c>
      <c r="L137" s="30">
        <f t="shared" si="5"/>
        <v>0</v>
      </c>
    </row>
    <row r="138" ht="15.75" customHeight="1">
      <c r="A138" s="21">
        <v>46078.0</v>
      </c>
      <c r="B138" s="21" t="s">
        <v>318</v>
      </c>
      <c r="C138" s="43" t="s">
        <v>7</v>
      </c>
      <c r="D138" s="30" t="str">
        <f>IF(C138&lt;&gt;"",VLOOKUP(C138,ENSEIGNES!$B$2:$D971,2,FALSE),"")</f>
        <v>Centrale</v>
      </c>
      <c r="E138" s="30" t="str">
        <f>IF(C138&lt;&gt;"",VLOOKUP(C138,ENSEIGNES!$B$2:$D971,3,FALSE),"")</f>
        <v>BROCARD</v>
      </c>
      <c r="F138" s="109">
        <v>680.67</v>
      </c>
      <c r="G138" s="32">
        <f t="shared" si="8"/>
        <v>718.10685</v>
      </c>
      <c r="H138" s="34">
        <f>IF(D138="Direct",PARAMETRES!$C$20,IF(D138="Centrale",PARAMETRES!$C$21,0))</f>
        <v>0.05</v>
      </c>
      <c r="I138" s="38">
        <f t="shared" si="2"/>
        <v>34.0335</v>
      </c>
      <c r="J138" s="40">
        <f t="shared" si="3"/>
        <v>2</v>
      </c>
      <c r="K138" s="40">
        <f t="shared" si="4"/>
        <v>2026</v>
      </c>
      <c r="L138" s="30">
        <f t="shared" si="5"/>
        <v>0</v>
      </c>
    </row>
    <row r="139" ht="15.75" customHeight="1">
      <c r="A139" s="21">
        <v>46078.0</v>
      </c>
      <c r="B139" s="21" t="s">
        <v>319</v>
      </c>
      <c r="C139" s="43" t="s">
        <v>7</v>
      </c>
      <c r="D139" s="30" t="str">
        <f>IF(C139&lt;&gt;"",VLOOKUP(C139,ENSEIGNES!$B$2:$D971,2,FALSE),"")</f>
        <v>Centrale</v>
      </c>
      <c r="E139" s="30" t="str">
        <f>IF(C139&lt;&gt;"",VLOOKUP(C139,ENSEIGNES!$B$2:$D971,3,FALSE),"")</f>
        <v>BROCARD</v>
      </c>
      <c r="F139" s="109">
        <v>361.88</v>
      </c>
      <c r="G139" s="32">
        <f t="shared" si="8"/>
        <v>381.7834</v>
      </c>
      <c r="H139" s="34">
        <f>IF(D139="Direct",PARAMETRES!$C$20,IF(D139="Centrale",PARAMETRES!$C$21,0))</f>
        <v>0.05</v>
      </c>
      <c r="I139" s="38">
        <f t="shared" si="2"/>
        <v>18.094</v>
      </c>
      <c r="J139" s="40">
        <f t="shared" si="3"/>
        <v>2</v>
      </c>
      <c r="K139" s="40">
        <f t="shared" si="4"/>
        <v>2026</v>
      </c>
      <c r="L139" s="30">
        <f t="shared" si="5"/>
        <v>0</v>
      </c>
    </row>
    <row r="140" ht="15.75" customHeight="1">
      <c r="A140" s="21">
        <v>46080.0</v>
      </c>
      <c r="B140" s="21" t="s">
        <v>320</v>
      </c>
      <c r="C140" s="43" t="s">
        <v>7</v>
      </c>
      <c r="D140" s="30" t="str">
        <f>IF(C140&lt;&gt;"",VLOOKUP(C140,ENSEIGNES!$B$2:$D971,2,FALSE),"")</f>
        <v>Centrale</v>
      </c>
      <c r="E140" s="30" t="str">
        <f>IF(C140&lt;&gt;"",VLOOKUP(C140,ENSEIGNES!$B$2:$D971,3,FALSE),"")</f>
        <v>BROCARD</v>
      </c>
      <c r="F140" s="109">
        <v>396.34</v>
      </c>
      <c r="G140" s="32">
        <f t="shared" si="8"/>
        <v>418.1387</v>
      </c>
      <c r="H140" s="34">
        <f>IF(D140="Direct",PARAMETRES!$C$20,IF(D140="Centrale",PARAMETRES!$C$21,0))</f>
        <v>0.05</v>
      </c>
      <c r="I140" s="38">
        <f t="shared" si="2"/>
        <v>19.817</v>
      </c>
      <c r="J140" s="40">
        <f t="shared" si="3"/>
        <v>2</v>
      </c>
      <c r="K140" s="40">
        <f t="shared" si="4"/>
        <v>2026</v>
      </c>
      <c r="L140" s="30">
        <f t="shared" si="5"/>
        <v>0</v>
      </c>
    </row>
    <row r="141" ht="15.75" customHeight="1">
      <c r="A141" s="21">
        <v>46080.0</v>
      </c>
      <c r="B141" s="21" t="s">
        <v>321</v>
      </c>
      <c r="C141" s="43" t="s">
        <v>7</v>
      </c>
      <c r="D141" s="30" t="str">
        <f>IF(C141&lt;&gt;"",VLOOKUP(C141,ENSEIGNES!$B$2:$D971,2,FALSE),"")</f>
        <v>Centrale</v>
      </c>
      <c r="E141" s="30" t="str">
        <f>IF(C141&lt;&gt;"",VLOOKUP(C141,ENSEIGNES!$B$2:$D971,3,FALSE),"")</f>
        <v>BROCARD</v>
      </c>
      <c r="F141" s="109">
        <v>460.96</v>
      </c>
      <c r="G141" s="32">
        <f t="shared" si="8"/>
        <v>486.3128</v>
      </c>
      <c r="H141" s="34">
        <f>IF(D141="Direct",PARAMETRES!$C$20,IF(D141="Centrale",PARAMETRES!$C$21,0))</f>
        <v>0.05</v>
      </c>
      <c r="I141" s="38">
        <f t="shared" si="2"/>
        <v>23.048</v>
      </c>
      <c r="J141" s="40">
        <f t="shared" si="3"/>
        <v>2</v>
      </c>
      <c r="K141" s="40">
        <f t="shared" si="4"/>
        <v>2026</v>
      </c>
      <c r="L141" s="30">
        <f t="shared" si="5"/>
        <v>0</v>
      </c>
    </row>
    <row r="142" ht="15.75" customHeight="1">
      <c r="A142" s="21">
        <v>46080.0</v>
      </c>
      <c r="B142" s="21" t="s">
        <v>322</v>
      </c>
      <c r="C142" s="43" t="s">
        <v>7</v>
      </c>
      <c r="D142" s="30" t="str">
        <f>IF(C142&lt;&gt;"",VLOOKUP(C142,ENSEIGNES!$B$2:$D971,2,FALSE),"")</f>
        <v>Centrale</v>
      </c>
      <c r="E142" s="30" t="str">
        <f>IF(C142&lt;&gt;"",VLOOKUP(C142,ENSEIGNES!$B$2:$D971,3,FALSE),"")</f>
        <v>BROCARD</v>
      </c>
      <c r="F142" s="109">
        <v>267.1</v>
      </c>
      <c r="G142" s="32">
        <f t="shared" si="8"/>
        <v>281.7905</v>
      </c>
      <c r="H142" s="34">
        <f>IF(D142="Direct",PARAMETRES!$C$20,IF(D142="Centrale",PARAMETRES!$C$21,0))</f>
        <v>0.05</v>
      </c>
      <c r="I142" s="38">
        <f t="shared" si="2"/>
        <v>13.355</v>
      </c>
      <c r="J142" s="40">
        <f t="shared" si="3"/>
        <v>2</v>
      </c>
      <c r="K142" s="40">
        <f t="shared" si="4"/>
        <v>2026</v>
      </c>
      <c r="L142" s="30">
        <f t="shared" si="5"/>
        <v>0</v>
      </c>
    </row>
    <row r="143" ht="15.75" customHeight="1">
      <c r="A143" s="21">
        <v>46065.0</v>
      </c>
      <c r="B143" s="21" t="s">
        <v>323</v>
      </c>
      <c r="C143" s="43" t="s">
        <v>77</v>
      </c>
      <c r="D143" s="30" t="str">
        <f>IF(C143&lt;&gt;"",VLOOKUP(C143,ENSEIGNES!$B$2:$D971,2,FALSE),"")</f>
        <v>Direct</v>
      </c>
      <c r="E143" s="30" t="str">
        <f>IF(C143&lt;&gt;"",VLOOKUP(C143,ENSEIGNES!$B$2:$D971,3,FALSE),"")</f>
        <v>BROCARD</v>
      </c>
      <c r="F143" s="109">
        <v>445.44</v>
      </c>
      <c r="G143" s="32">
        <f t="shared" si="8"/>
        <v>469.9392</v>
      </c>
      <c r="H143" s="34">
        <f>IF(D143="Direct",PARAMETRES!$C$20,IF(D143="Centrale",PARAMETRES!$C$21,0))</f>
        <v>0.07</v>
      </c>
      <c r="I143" s="38">
        <f t="shared" si="2"/>
        <v>31.1808</v>
      </c>
      <c r="J143" s="40">
        <f t="shared" si="3"/>
        <v>2</v>
      </c>
      <c r="K143" s="40">
        <f t="shared" si="4"/>
        <v>2026</v>
      </c>
      <c r="L143" s="30">
        <f t="shared" si="5"/>
        <v>1</v>
      </c>
    </row>
    <row r="144" ht="15.75" customHeight="1">
      <c r="A144" s="21">
        <v>46078.0</v>
      </c>
      <c r="B144" s="21" t="s">
        <v>324</v>
      </c>
      <c r="C144" s="43" t="s">
        <v>77</v>
      </c>
      <c r="D144" s="30" t="str">
        <f>IF(C144&lt;&gt;"",VLOOKUP(C144,ENSEIGNES!$B$2:$D971,2,FALSE),"")</f>
        <v>Direct</v>
      </c>
      <c r="E144" s="30" t="str">
        <f>IF(C144&lt;&gt;"",VLOOKUP(C144,ENSEIGNES!$B$2:$D971,3,FALSE),"")</f>
        <v>BROCARD</v>
      </c>
      <c r="F144" s="109">
        <v>468.64</v>
      </c>
      <c r="G144" s="32">
        <f t="shared" si="8"/>
        <v>494.4152</v>
      </c>
      <c r="H144" s="34">
        <f>IF(D144="Direct",PARAMETRES!$C$20,IF(D144="Centrale",PARAMETRES!$C$21,0))</f>
        <v>0.07</v>
      </c>
      <c r="I144" s="38">
        <f t="shared" si="2"/>
        <v>32.8048</v>
      </c>
      <c r="J144" s="40">
        <f t="shared" si="3"/>
        <v>2</v>
      </c>
      <c r="K144" s="40">
        <f t="shared" si="4"/>
        <v>2026</v>
      </c>
      <c r="L144" s="30">
        <f t="shared" si="5"/>
        <v>0</v>
      </c>
    </row>
    <row r="145" ht="15.75" customHeight="1">
      <c r="A145" s="21">
        <v>46055.0</v>
      </c>
      <c r="B145" s="21" t="s">
        <v>325</v>
      </c>
      <c r="C145" s="43" t="s">
        <v>7</v>
      </c>
      <c r="D145" s="30" t="str">
        <f>IF(C145&lt;&gt;"",VLOOKUP(C145,ENSEIGNES!$B$2:$D971,2,FALSE),"")</f>
        <v>Centrale</v>
      </c>
      <c r="E145" s="30" t="str">
        <f>IF(C145&lt;&gt;"",VLOOKUP(C145,ENSEIGNES!$B$2:$D971,3,FALSE),"")</f>
        <v>BROCARD</v>
      </c>
      <c r="F145" s="109">
        <v>258.48</v>
      </c>
      <c r="G145" s="32">
        <f t="shared" si="8"/>
        <v>272.6964</v>
      </c>
      <c r="H145" s="34">
        <f>IF(D145="Direct",PARAMETRES!$C$20,IF(D145="Centrale",PARAMETRES!$C$21,0))</f>
        <v>0.05</v>
      </c>
      <c r="I145" s="38">
        <f t="shared" si="2"/>
        <v>12.924</v>
      </c>
      <c r="J145" s="40">
        <f t="shared" si="3"/>
        <v>2</v>
      </c>
      <c r="K145" s="40">
        <f t="shared" si="4"/>
        <v>2026</v>
      </c>
      <c r="L145" s="30">
        <f t="shared" si="5"/>
        <v>0</v>
      </c>
    </row>
    <row r="146" ht="15.75" customHeight="1">
      <c r="A146" s="21">
        <v>46057.0</v>
      </c>
      <c r="B146" s="21" t="s">
        <v>326</v>
      </c>
      <c r="C146" s="43" t="s">
        <v>7</v>
      </c>
      <c r="D146" s="30" t="str">
        <f>IF(C146&lt;&gt;"",VLOOKUP(C146,ENSEIGNES!$B$2:$D971,2,FALSE),"")</f>
        <v>Centrale</v>
      </c>
      <c r="E146" s="30" t="str">
        <f>IF(C146&lt;&gt;"",VLOOKUP(C146,ENSEIGNES!$B$2:$D971,3,FALSE),"")</f>
        <v>BROCARD</v>
      </c>
      <c r="F146" s="109">
        <v>465.27</v>
      </c>
      <c r="G146" s="32">
        <f t="shared" si="8"/>
        <v>490.85985</v>
      </c>
      <c r="H146" s="34">
        <f>IF(D146="Direct",PARAMETRES!$C$20,IF(D146="Centrale",PARAMETRES!$C$21,0))</f>
        <v>0.05</v>
      </c>
      <c r="I146" s="38">
        <f t="shared" si="2"/>
        <v>23.2635</v>
      </c>
      <c r="J146" s="40">
        <f t="shared" si="3"/>
        <v>2</v>
      </c>
      <c r="K146" s="40">
        <f t="shared" si="4"/>
        <v>2026</v>
      </c>
      <c r="L146" s="30">
        <f t="shared" si="5"/>
        <v>0</v>
      </c>
    </row>
    <row r="147" ht="15.75" customHeight="1">
      <c r="A147" s="21">
        <v>46057.0</v>
      </c>
      <c r="B147" s="21" t="s">
        <v>327</v>
      </c>
      <c r="C147" s="43" t="s">
        <v>7</v>
      </c>
      <c r="D147" s="30" t="str">
        <f>IF(C147&lt;&gt;"",VLOOKUP(C147,ENSEIGNES!$B$2:$D971,2,FALSE),"")</f>
        <v>Centrale</v>
      </c>
      <c r="E147" s="30" t="str">
        <f>IF(C147&lt;&gt;"",VLOOKUP(C147,ENSEIGNES!$B$2:$D971,3,FALSE),"")</f>
        <v>BROCARD</v>
      </c>
      <c r="F147" s="109">
        <v>305.87</v>
      </c>
      <c r="G147" s="32">
        <f t="shared" si="8"/>
        <v>322.69285</v>
      </c>
      <c r="H147" s="34">
        <f>IF(D147="Direct",PARAMETRES!$C$20,IF(D147="Centrale",PARAMETRES!$C$21,0))</f>
        <v>0.05</v>
      </c>
      <c r="I147" s="38">
        <f t="shared" si="2"/>
        <v>15.2935</v>
      </c>
      <c r="J147" s="40">
        <f t="shared" si="3"/>
        <v>2</v>
      </c>
      <c r="K147" s="40">
        <f t="shared" si="4"/>
        <v>2026</v>
      </c>
      <c r="L147" s="30">
        <f t="shared" si="5"/>
        <v>0</v>
      </c>
    </row>
    <row r="148" ht="15.75" customHeight="1">
      <c r="A148" s="21">
        <v>46057.0</v>
      </c>
      <c r="B148" s="21" t="s">
        <v>328</v>
      </c>
      <c r="C148" s="43" t="s">
        <v>7</v>
      </c>
      <c r="D148" s="30" t="str">
        <f>IF(C148&lt;&gt;"",VLOOKUP(C148,ENSEIGNES!$B$2:$D971,2,FALSE),"")</f>
        <v>Centrale</v>
      </c>
      <c r="E148" s="30" t="str">
        <f>IF(C148&lt;&gt;"",VLOOKUP(C148,ENSEIGNES!$B$2:$D971,3,FALSE),"")</f>
        <v>BROCARD</v>
      </c>
      <c r="F148" s="109">
        <v>185.25</v>
      </c>
      <c r="G148" s="32">
        <f t="shared" si="8"/>
        <v>195.43875</v>
      </c>
      <c r="H148" s="34">
        <f>IF(D148="Direct",PARAMETRES!$C$20,IF(D148="Centrale",PARAMETRES!$C$21,0))</f>
        <v>0.05</v>
      </c>
      <c r="I148" s="38">
        <f t="shared" si="2"/>
        <v>9.2625</v>
      </c>
      <c r="J148" s="40">
        <f t="shared" si="3"/>
        <v>2</v>
      </c>
      <c r="K148" s="40">
        <f t="shared" si="4"/>
        <v>2026</v>
      </c>
      <c r="L148" s="30">
        <f t="shared" si="5"/>
        <v>0</v>
      </c>
    </row>
    <row r="149" ht="15.75" customHeight="1">
      <c r="A149" s="21">
        <v>46059.0</v>
      </c>
      <c r="B149" s="21" t="s">
        <v>329</v>
      </c>
      <c r="C149" s="43" t="s">
        <v>7</v>
      </c>
      <c r="D149" s="30" t="str">
        <f>IF(C149&lt;&gt;"",VLOOKUP(C149,ENSEIGNES!$B$2:$D971,2,FALSE),"")</f>
        <v>Centrale</v>
      </c>
      <c r="E149" s="30" t="str">
        <f>IF(C149&lt;&gt;"",VLOOKUP(C149,ENSEIGNES!$B$2:$D971,3,FALSE),"")</f>
        <v>BROCARD</v>
      </c>
      <c r="F149" s="109">
        <v>538.51</v>
      </c>
      <c r="G149" s="32">
        <f t="shared" si="8"/>
        <v>568.12805</v>
      </c>
      <c r="H149" s="34">
        <f>IF(D149="Direct",PARAMETRES!$C$20,IF(D149="Centrale",PARAMETRES!$C$21,0))</f>
        <v>0.05</v>
      </c>
      <c r="I149" s="38">
        <f t="shared" si="2"/>
        <v>26.9255</v>
      </c>
      <c r="J149" s="40">
        <f t="shared" si="3"/>
        <v>2</v>
      </c>
      <c r="K149" s="40">
        <f t="shared" si="4"/>
        <v>2026</v>
      </c>
      <c r="L149" s="30">
        <f t="shared" si="5"/>
        <v>0</v>
      </c>
    </row>
    <row r="150" ht="15.75" customHeight="1">
      <c r="A150" s="21">
        <v>46059.0</v>
      </c>
      <c r="B150" s="21" t="s">
        <v>330</v>
      </c>
      <c r="C150" s="43" t="s">
        <v>7</v>
      </c>
      <c r="D150" s="30" t="str">
        <f>IF(C150&lt;&gt;"",VLOOKUP(C150,ENSEIGNES!$B$2:$D971,2,FALSE),"")</f>
        <v>Centrale</v>
      </c>
      <c r="E150" s="30" t="str">
        <f>IF(C150&lt;&gt;"",VLOOKUP(C150,ENSEIGNES!$B$2:$D971,3,FALSE),"")</f>
        <v>BROCARD</v>
      </c>
      <c r="F150" s="109">
        <v>400.65</v>
      </c>
      <c r="G150" s="32">
        <f t="shared" si="8"/>
        <v>422.68575</v>
      </c>
      <c r="H150" s="34">
        <f>IF(D150="Direct",PARAMETRES!$C$20,IF(D150="Centrale",PARAMETRES!$C$21,0))</f>
        <v>0.05</v>
      </c>
      <c r="I150" s="38">
        <f t="shared" si="2"/>
        <v>20.0325</v>
      </c>
      <c r="J150" s="40">
        <f t="shared" si="3"/>
        <v>2</v>
      </c>
      <c r="K150" s="40">
        <f t="shared" si="4"/>
        <v>2026</v>
      </c>
      <c r="L150" s="30">
        <f t="shared" si="5"/>
        <v>0</v>
      </c>
    </row>
    <row r="151" ht="15.75" customHeight="1">
      <c r="A151" s="21">
        <v>46059.0</v>
      </c>
      <c r="B151" s="21" t="s">
        <v>331</v>
      </c>
      <c r="C151" s="43" t="s">
        <v>7</v>
      </c>
      <c r="D151" s="30" t="str">
        <f>IF(C151&lt;&gt;"",VLOOKUP(C151,ENSEIGNES!$B$2:$D971,2,FALSE),"")</f>
        <v>Centrale</v>
      </c>
      <c r="E151" s="30" t="str">
        <f>IF(C151&lt;&gt;"",VLOOKUP(C151,ENSEIGNES!$B$2:$D971,3,FALSE),"")</f>
        <v>BROCARD</v>
      </c>
      <c r="F151" s="109">
        <v>224.02</v>
      </c>
      <c r="G151" s="32">
        <f t="shared" si="8"/>
        <v>236.3411</v>
      </c>
      <c r="H151" s="34">
        <f>IF(D151="Direct",PARAMETRES!$C$20,IF(D151="Centrale",PARAMETRES!$C$21,0))</f>
        <v>0.05</v>
      </c>
      <c r="I151" s="38">
        <f t="shared" si="2"/>
        <v>11.201</v>
      </c>
      <c r="J151" s="40">
        <f t="shared" si="3"/>
        <v>2</v>
      </c>
      <c r="K151" s="40">
        <f t="shared" si="4"/>
        <v>2026</v>
      </c>
      <c r="L151" s="30">
        <f t="shared" si="5"/>
        <v>0</v>
      </c>
    </row>
    <row r="152" ht="15.75" customHeight="1">
      <c r="A152" s="21">
        <v>46062.0</v>
      </c>
      <c r="B152" s="21" t="s">
        <v>332</v>
      </c>
      <c r="C152" s="43" t="s">
        <v>7</v>
      </c>
      <c r="D152" s="30" t="str">
        <f>IF(C152&lt;&gt;"",VLOOKUP(C152,ENSEIGNES!$B$2:$D971,2,FALSE),"")</f>
        <v>Centrale</v>
      </c>
      <c r="E152" s="30" t="str">
        <f>IF(C152&lt;&gt;"",VLOOKUP(C152,ENSEIGNES!$B$2:$D971,3,FALSE),"")</f>
        <v>BROCARD</v>
      </c>
      <c r="F152" s="109">
        <v>271.41</v>
      </c>
      <c r="G152" s="32">
        <f t="shared" si="8"/>
        <v>286.33755</v>
      </c>
      <c r="H152" s="34">
        <f>IF(D152="Direct",PARAMETRES!$C$20,IF(D152="Centrale",PARAMETRES!$C$21,0))</f>
        <v>0.05</v>
      </c>
      <c r="I152" s="38">
        <f t="shared" si="2"/>
        <v>13.5705</v>
      </c>
      <c r="J152" s="40">
        <f t="shared" si="3"/>
        <v>2</v>
      </c>
      <c r="K152" s="40">
        <f t="shared" si="4"/>
        <v>2026</v>
      </c>
      <c r="L152" s="30">
        <f t="shared" si="5"/>
        <v>0</v>
      </c>
    </row>
    <row r="153" ht="15.75" customHeight="1">
      <c r="A153" s="21">
        <v>46064.0</v>
      </c>
      <c r="B153" s="21" t="s">
        <v>333</v>
      </c>
      <c r="C153" s="43" t="s">
        <v>7</v>
      </c>
      <c r="D153" s="30" t="str">
        <f>IF(C153&lt;&gt;"",VLOOKUP(C153,ENSEIGNES!$B$2:$D971,2,FALSE),"")</f>
        <v>Centrale</v>
      </c>
      <c r="E153" s="30" t="str">
        <f>IF(C153&lt;&gt;"",VLOOKUP(C153,ENSEIGNES!$B$2:$D971,3,FALSE),"")</f>
        <v>BROCARD</v>
      </c>
      <c r="F153" s="109">
        <v>439.42</v>
      </c>
      <c r="G153" s="32">
        <f t="shared" si="8"/>
        <v>463.5881</v>
      </c>
      <c r="H153" s="34">
        <f>IF(D153="Direct",PARAMETRES!$C$20,IF(D153="Centrale",PARAMETRES!$C$21,0))</f>
        <v>0.05</v>
      </c>
      <c r="I153" s="38">
        <f t="shared" si="2"/>
        <v>21.971</v>
      </c>
      <c r="J153" s="40">
        <f t="shared" si="3"/>
        <v>2</v>
      </c>
      <c r="K153" s="40">
        <f t="shared" si="4"/>
        <v>2026</v>
      </c>
      <c r="L153" s="30">
        <f t="shared" si="5"/>
        <v>0</v>
      </c>
    </row>
    <row r="154" ht="15.75" customHeight="1">
      <c r="A154" s="21">
        <v>46064.0</v>
      </c>
      <c r="B154" s="21" t="s">
        <v>334</v>
      </c>
      <c r="C154" s="43" t="s">
        <v>7</v>
      </c>
      <c r="D154" s="30" t="str">
        <f>IF(C154&lt;&gt;"",VLOOKUP(C154,ENSEIGNES!$B$2:$D971,2,FALSE),"")</f>
        <v>Centrale</v>
      </c>
      <c r="E154" s="30" t="str">
        <f>IF(C154&lt;&gt;"",VLOOKUP(C154,ENSEIGNES!$B$2:$D971,3,FALSE),"")</f>
        <v>BROCARD</v>
      </c>
      <c r="F154" s="109">
        <v>323.1</v>
      </c>
      <c r="G154" s="32">
        <f t="shared" si="8"/>
        <v>340.8705</v>
      </c>
      <c r="H154" s="34">
        <f>IF(D154="Direct",PARAMETRES!$C$20,IF(D154="Centrale",PARAMETRES!$C$21,0))</f>
        <v>0.05</v>
      </c>
      <c r="I154" s="38">
        <f t="shared" si="2"/>
        <v>16.155</v>
      </c>
      <c r="J154" s="40">
        <f t="shared" si="3"/>
        <v>2</v>
      </c>
      <c r="K154" s="40">
        <f t="shared" si="4"/>
        <v>2026</v>
      </c>
      <c r="L154" s="30">
        <f t="shared" si="5"/>
        <v>0</v>
      </c>
    </row>
    <row r="155" ht="15.75" customHeight="1">
      <c r="A155" s="21">
        <v>46084.0</v>
      </c>
      <c r="B155" s="21" t="s">
        <v>335</v>
      </c>
      <c r="C155" s="43" t="s">
        <v>37</v>
      </c>
      <c r="D155" s="30" t="str">
        <f>IF(C155&lt;&gt;"",VLOOKUP(C155,ENSEIGNES!$B$2:$D971,2,FALSE),"")</f>
        <v>Centrale</v>
      </c>
      <c r="E155" s="30" t="str">
        <f>IF(C155&lt;&gt;"",VLOOKUP(C155,ENSEIGNES!$B$2:$D971,3,FALSE),"")</f>
        <v>CAP FRAIS</v>
      </c>
      <c r="F155" s="109">
        <v>616.05</v>
      </c>
      <c r="G155" s="32">
        <f t="shared" si="8"/>
        <v>649.93275</v>
      </c>
      <c r="H155" s="34">
        <f>IF(D155="Direct",PARAMETRES!$C$20,IF(D155="Centrale",PARAMETRES!$C$21,0))</f>
        <v>0.05</v>
      </c>
      <c r="I155" s="38">
        <f t="shared" si="2"/>
        <v>30.8025</v>
      </c>
      <c r="J155" s="40">
        <f t="shared" si="3"/>
        <v>3</v>
      </c>
      <c r="K155" s="40">
        <f t="shared" si="4"/>
        <v>2026</v>
      </c>
      <c r="L155" s="30">
        <f t="shared" si="5"/>
        <v>1</v>
      </c>
    </row>
    <row r="156" ht="15.75" customHeight="1">
      <c r="A156" s="21">
        <v>46086.0</v>
      </c>
      <c r="B156" s="21" t="s">
        <v>336</v>
      </c>
      <c r="C156" s="43" t="s">
        <v>37</v>
      </c>
      <c r="D156" s="30" t="str">
        <f>IF(C156&lt;&gt;"",VLOOKUP(C156,ENSEIGNES!$B$2:$D971,2,FALSE),"")</f>
        <v>Centrale</v>
      </c>
      <c r="E156" s="30" t="str">
        <f>IF(C156&lt;&gt;"",VLOOKUP(C156,ENSEIGNES!$B$2:$D971,3,FALSE),"")</f>
        <v>CAP FRAIS</v>
      </c>
      <c r="F156" s="109">
        <v>611.74</v>
      </c>
      <c r="G156" s="32">
        <f t="shared" si="8"/>
        <v>645.3857</v>
      </c>
      <c r="H156" s="34">
        <f>IF(D156="Direct",PARAMETRES!$C$20,IF(D156="Centrale",PARAMETRES!$C$21,0))</f>
        <v>0.05</v>
      </c>
      <c r="I156" s="38">
        <f t="shared" si="2"/>
        <v>30.587</v>
      </c>
      <c r="J156" s="40">
        <f t="shared" si="3"/>
        <v>3</v>
      </c>
      <c r="K156" s="40">
        <f t="shared" si="4"/>
        <v>2026</v>
      </c>
      <c r="L156" s="30">
        <f t="shared" si="5"/>
        <v>0</v>
      </c>
    </row>
    <row r="157" ht="15.75" customHeight="1">
      <c r="A157" s="21">
        <v>46091.0</v>
      </c>
      <c r="B157" s="21" t="s">
        <v>337</v>
      </c>
      <c r="C157" s="43" t="s">
        <v>37</v>
      </c>
      <c r="D157" s="30" t="str">
        <f>IF(C157&lt;&gt;"",VLOOKUP(C157,ENSEIGNES!$B$2:$D971,2,FALSE),"")</f>
        <v>Centrale</v>
      </c>
      <c r="E157" s="30" t="str">
        <f>IF(C157&lt;&gt;"",VLOOKUP(C157,ENSEIGNES!$B$2:$D$47,3,FALSE),"")</f>
        <v>CAP FRAIS</v>
      </c>
      <c r="F157" s="109">
        <v>590.2</v>
      </c>
      <c r="G157" s="32">
        <f t="shared" si="8"/>
        <v>622.661</v>
      </c>
      <c r="H157" s="34">
        <f>IF(D157="Direct",PARAMETRES!$C$20,IF(D157="Centrale",PARAMETRES!$C$21,0))</f>
        <v>0.05</v>
      </c>
      <c r="I157" s="38">
        <f t="shared" si="2"/>
        <v>29.51</v>
      </c>
      <c r="J157" s="40">
        <f t="shared" si="3"/>
        <v>3</v>
      </c>
      <c r="K157" s="40">
        <f t="shared" si="4"/>
        <v>2026</v>
      </c>
      <c r="L157" s="30">
        <f t="shared" si="5"/>
        <v>0</v>
      </c>
    </row>
    <row r="158" ht="15.75" customHeight="1">
      <c r="A158" s="21">
        <v>46093.0</v>
      </c>
      <c r="B158" s="21" t="s">
        <v>338</v>
      </c>
      <c r="C158" s="43" t="s">
        <v>37</v>
      </c>
      <c r="D158" s="30" t="str">
        <f>IF(C158&lt;&gt;"",VLOOKUP(C158,ENSEIGNES!$B$2:$D971,2,FALSE),"")</f>
        <v>Centrale</v>
      </c>
      <c r="E158" s="30" t="str">
        <f>IF(C158&lt;&gt;"",VLOOKUP(C158,ENSEIGNES!$B$2:$D$47,3,FALSE),"")</f>
        <v>CAP FRAIS</v>
      </c>
      <c r="F158" s="109">
        <v>443.73</v>
      </c>
      <c r="G158" s="32">
        <f t="shared" si="8"/>
        <v>468.13515</v>
      </c>
      <c r="H158" s="34">
        <f>IF(D158="Direct",PARAMETRES!$C$20,IF(D158="Centrale",PARAMETRES!$C$21,0))</f>
        <v>0.05</v>
      </c>
      <c r="I158" s="38">
        <f t="shared" si="2"/>
        <v>22.1865</v>
      </c>
      <c r="J158" s="40">
        <f t="shared" si="3"/>
        <v>3</v>
      </c>
      <c r="K158" s="40">
        <f t="shared" si="4"/>
        <v>2026</v>
      </c>
      <c r="L158" s="30">
        <f t="shared" si="5"/>
        <v>0</v>
      </c>
    </row>
    <row r="159" ht="15.75" customHeight="1">
      <c r="A159" s="21">
        <v>46098.0</v>
      </c>
      <c r="B159" s="21" t="s">
        <v>339</v>
      </c>
      <c r="C159" s="43" t="s">
        <v>37</v>
      </c>
      <c r="D159" s="30" t="str">
        <f>IF(C159&lt;&gt;"",VLOOKUP(C159,ENSEIGNES!$B$2:$D971,2,FALSE),"")</f>
        <v>Centrale</v>
      </c>
      <c r="E159" s="30" t="str">
        <f>IF(C159&lt;&gt;"",VLOOKUP(C159,ENSEIGNES!$B$2:$D$47,3,FALSE),"")</f>
        <v>CAP FRAIS</v>
      </c>
      <c r="F159" s="109">
        <v>396.34</v>
      </c>
      <c r="G159" s="32">
        <f t="shared" si="8"/>
        <v>418.1387</v>
      </c>
      <c r="H159" s="34">
        <f>IF(D159="Direct",PARAMETRES!$C$20,IF(D159="Centrale",PARAMETRES!$C$21,0))</f>
        <v>0.05</v>
      </c>
      <c r="I159" s="38">
        <f t="shared" si="2"/>
        <v>19.817</v>
      </c>
      <c r="J159" s="40">
        <f t="shared" si="3"/>
        <v>3</v>
      </c>
      <c r="K159" s="40">
        <f t="shared" si="4"/>
        <v>2026</v>
      </c>
      <c r="L159" s="30">
        <f t="shared" si="5"/>
        <v>0</v>
      </c>
    </row>
    <row r="160" ht="15.75" customHeight="1">
      <c r="A160" s="21">
        <v>46100.0</v>
      </c>
      <c r="B160" s="21" t="s">
        <v>340</v>
      </c>
      <c r="C160" s="43" t="s">
        <v>37</v>
      </c>
      <c r="D160" s="30" t="str">
        <f>IF(C160&lt;&gt;"",VLOOKUP(C160,ENSEIGNES!$B$2:$D971,2,FALSE),"")</f>
        <v>Centrale</v>
      </c>
      <c r="E160" s="30" t="str">
        <f>IF(C160&lt;&gt;"",VLOOKUP(C160,ENSEIGNES!$B$2:$D$47,3,FALSE),"")</f>
        <v>CAP FRAIS</v>
      </c>
      <c r="F160" s="109">
        <v>594.51</v>
      </c>
      <c r="G160" s="32">
        <f t="shared" si="8"/>
        <v>627.20805</v>
      </c>
      <c r="H160" s="34">
        <f>IF(D160="Direct",PARAMETRES!$C$20,IF(D160="Centrale",PARAMETRES!$C$21,0))</f>
        <v>0.05</v>
      </c>
      <c r="I160" s="38">
        <f t="shared" si="2"/>
        <v>29.7255</v>
      </c>
      <c r="J160" s="40">
        <f t="shared" si="3"/>
        <v>3</v>
      </c>
      <c r="K160" s="40">
        <f t="shared" si="4"/>
        <v>2026</v>
      </c>
      <c r="L160" s="30">
        <f t="shared" si="5"/>
        <v>0</v>
      </c>
    </row>
    <row r="161" ht="15.75" customHeight="1">
      <c r="A161" s="21">
        <v>46105.0</v>
      </c>
      <c r="B161" s="21" t="s">
        <v>341</v>
      </c>
      <c r="C161" s="43" t="s">
        <v>37</v>
      </c>
      <c r="D161" s="30" t="str">
        <f>IF(C161&lt;&gt;"",VLOOKUP(C161,ENSEIGNES!$B$2:$D971,2,FALSE),"")</f>
        <v>Centrale</v>
      </c>
      <c r="E161" s="30" t="str">
        <f>IF(C161&lt;&gt;"",VLOOKUP(C161,ENSEIGNES!$B$2:$D971,3,FALSE),"")</f>
        <v>CAP FRAIS</v>
      </c>
      <c r="F161" s="109">
        <v>413.57</v>
      </c>
      <c r="G161" s="32">
        <f t="shared" si="8"/>
        <v>436.31635</v>
      </c>
      <c r="H161" s="34">
        <f>IF(D161="Direct",PARAMETRES!$C$20,IF(D161="Centrale",PARAMETRES!$C$21,0))</f>
        <v>0.05</v>
      </c>
      <c r="I161" s="38">
        <f t="shared" si="2"/>
        <v>20.6785</v>
      </c>
      <c r="J161" s="40">
        <f t="shared" si="3"/>
        <v>3</v>
      </c>
      <c r="K161" s="40">
        <f t="shared" si="4"/>
        <v>2026</v>
      </c>
      <c r="L161" s="30">
        <f t="shared" si="5"/>
        <v>0</v>
      </c>
    </row>
    <row r="162" ht="15.75" customHeight="1">
      <c r="A162" s="21">
        <v>46085.0</v>
      </c>
      <c r="B162" s="21" t="s">
        <v>342</v>
      </c>
      <c r="C162" s="43" t="s">
        <v>91</v>
      </c>
      <c r="D162" s="30" t="str">
        <f>IF(C162&lt;&gt;"",VLOOKUP(C162,ENSEIGNES!$B$2:$D971,2,FALSE),"")</f>
        <v>Centrale</v>
      </c>
      <c r="E162" s="30" t="str">
        <f>IF(C162&lt;&gt;"",VLOOKUP(C162,ENSEIGNES!$B$2:$D971,3,FALSE),"")</f>
        <v>CAP FRAIS</v>
      </c>
      <c r="F162" s="109">
        <v>389.76</v>
      </c>
      <c r="G162" s="32">
        <f t="shared" si="8"/>
        <v>411.1968</v>
      </c>
      <c r="H162" s="34">
        <f>IF(D162="Direct",PARAMETRES!$C$20,IF(D162="Centrale",PARAMETRES!$C$21,0))</f>
        <v>0.05</v>
      </c>
      <c r="I162" s="38">
        <f t="shared" si="2"/>
        <v>19.488</v>
      </c>
      <c r="J162" s="40">
        <f t="shared" si="3"/>
        <v>3</v>
      </c>
      <c r="K162" s="40">
        <f t="shared" si="4"/>
        <v>2026</v>
      </c>
      <c r="L162" s="30">
        <f t="shared" si="5"/>
        <v>1</v>
      </c>
    </row>
    <row r="163" ht="15.75" customHeight="1">
      <c r="A163" s="21">
        <v>46085.0</v>
      </c>
      <c r="B163" s="21" t="s">
        <v>343</v>
      </c>
      <c r="C163" s="43" t="s">
        <v>69</v>
      </c>
      <c r="D163" s="30" t="str">
        <f>IF(C163&lt;&gt;"",VLOOKUP(C163,ENSEIGNES!$B$2:$D971,2,FALSE),"")</f>
        <v>Direct</v>
      </c>
      <c r="E163" s="30" t="str">
        <f>IF(C163&lt;&gt;"",VLOOKUP(C163,ENSEIGNES!$B$2:$D971,3,FALSE),"")</f>
        <v>CAP FRAIS</v>
      </c>
      <c r="F163" s="109">
        <v>426.88</v>
      </c>
      <c r="G163" s="32">
        <f t="shared" si="8"/>
        <v>450.3584</v>
      </c>
      <c r="H163" s="34">
        <f>IF(D163="Direct",PARAMETRES!$C$20,IF(D163="Centrale",PARAMETRES!$C$21,0))</f>
        <v>0.07</v>
      </c>
      <c r="I163" s="38">
        <f t="shared" si="2"/>
        <v>29.8816</v>
      </c>
      <c r="J163" s="40">
        <f t="shared" si="3"/>
        <v>3</v>
      </c>
      <c r="K163" s="40">
        <f t="shared" si="4"/>
        <v>2026</v>
      </c>
      <c r="L163" s="30">
        <f t="shared" si="5"/>
        <v>1</v>
      </c>
    </row>
    <row r="164" ht="15.75" customHeight="1">
      <c r="A164" s="21">
        <v>46091.0</v>
      </c>
      <c r="B164" s="21" t="s">
        <v>344</v>
      </c>
      <c r="C164" s="43" t="s">
        <v>71</v>
      </c>
      <c r="D164" s="30" t="str">
        <f>IF(C164&lt;&gt;"",VLOOKUP(C164,ENSEIGNES!$B$2:$D971,2,FALSE),"")</f>
        <v>Direct</v>
      </c>
      <c r="E164" s="30" t="str">
        <f>IF(C164&lt;&gt;"",VLOOKUP(C164,ENSEIGNES!$B$2:$D971,3,FALSE),"")</f>
        <v>CAP FRAIS</v>
      </c>
      <c r="F164" s="109">
        <v>440.8</v>
      </c>
      <c r="G164" s="32">
        <f t="shared" si="8"/>
        <v>465.044</v>
      </c>
      <c r="H164" s="34">
        <f>IF(D164="Direct",PARAMETRES!$C$20,IF(D164="Centrale",PARAMETRES!$C$21,0))</f>
        <v>0.07</v>
      </c>
      <c r="I164" s="38">
        <f t="shared" si="2"/>
        <v>30.856</v>
      </c>
      <c r="J164" s="40">
        <f t="shared" si="3"/>
        <v>3</v>
      </c>
      <c r="K164" s="40">
        <f t="shared" si="4"/>
        <v>2026</v>
      </c>
      <c r="L164" s="30">
        <f t="shared" si="5"/>
        <v>1</v>
      </c>
    </row>
    <row r="165" ht="15.75" customHeight="1">
      <c r="A165" s="21">
        <v>46092.0</v>
      </c>
      <c r="B165" s="21" t="s">
        <v>345</v>
      </c>
      <c r="C165" s="43" t="s">
        <v>92</v>
      </c>
      <c r="D165" s="30" t="str">
        <f>IF(C165&lt;&gt;"",VLOOKUP(C165,ENSEIGNES!$B$2:$D971,2,FALSE),"")</f>
        <v>Centrale</v>
      </c>
      <c r="E165" s="30" t="str">
        <f>IF(C165&lt;&gt;"",VLOOKUP(C165,ENSEIGNES!$B$2:$D971,3,FALSE),"")</f>
        <v>CAP FRAIS</v>
      </c>
      <c r="F165" s="109">
        <v>431.52</v>
      </c>
      <c r="G165" s="32">
        <f t="shared" si="8"/>
        <v>455.2536</v>
      </c>
      <c r="H165" s="34">
        <f>IF(D165="Direct",PARAMETRES!$C$20,IF(D165="Centrale",PARAMETRES!$C$21,0))</f>
        <v>0.05</v>
      </c>
      <c r="I165" s="38">
        <f t="shared" si="2"/>
        <v>21.576</v>
      </c>
      <c r="J165" s="40">
        <f t="shared" si="3"/>
        <v>3</v>
      </c>
      <c r="K165" s="40">
        <f t="shared" si="4"/>
        <v>2026</v>
      </c>
      <c r="L165" s="30">
        <f t="shared" si="5"/>
        <v>1</v>
      </c>
    </row>
    <row r="166" ht="15.75" customHeight="1">
      <c r="A166" s="21">
        <v>46092.0</v>
      </c>
      <c r="B166" s="21" t="s">
        <v>346</v>
      </c>
      <c r="C166" s="43" t="s">
        <v>73</v>
      </c>
      <c r="D166" s="30" t="str">
        <f>IF(C166&lt;&gt;"",VLOOKUP(C166,ENSEIGNES!$B$2:$D971,2,FALSE),"")</f>
        <v>Direct</v>
      </c>
      <c r="E166" s="30" t="str">
        <f>IF(C166&lt;&gt;"",VLOOKUP(C166,ENSEIGNES!$B$2:$D$47,3,FALSE),"")</f>
        <v>CAP FRAIS</v>
      </c>
      <c r="F166" s="109">
        <v>348.0</v>
      </c>
      <c r="G166" s="32">
        <f t="shared" si="8"/>
        <v>367.14</v>
      </c>
      <c r="H166" s="34">
        <f>IF(D166="Direct",PARAMETRES!$C$20,IF(D166="Centrale",PARAMETRES!$C$21,0))</f>
        <v>0.07</v>
      </c>
      <c r="I166" s="38">
        <f t="shared" si="2"/>
        <v>24.36</v>
      </c>
      <c r="J166" s="40">
        <f t="shared" si="3"/>
        <v>3</v>
      </c>
      <c r="K166" s="40">
        <f t="shared" si="4"/>
        <v>2026</v>
      </c>
      <c r="L166" s="30">
        <f t="shared" si="5"/>
        <v>1</v>
      </c>
    </row>
    <row r="167" ht="15.75" customHeight="1">
      <c r="A167" s="21">
        <v>46094.0</v>
      </c>
      <c r="B167" s="21" t="s">
        <v>347</v>
      </c>
      <c r="C167" s="43" t="s">
        <v>79</v>
      </c>
      <c r="D167" s="30" t="str">
        <f>IF(C167&lt;&gt;"",VLOOKUP(C167,ENSEIGNES!$B$2:$D971,2,FALSE),"")</f>
        <v>Direct</v>
      </c>
      <c r="E167" s="30" t="str">
        <f>IF(C167&lt;&gt;"",VLOOKUP(C167,ENSEIGNES!$B$2:$D971,3,FALSE),"")</f>
        <v>CAP FRAIS</v>
      </c>
      <c r="F167" s="109">
        <v>423.63</v>
      </c>
      <c r="G167" s="32">
        <f t="shared" si="8"/>
        <v>446.92965</v>
      </c>
      <c r="H167" s="34">
        <f>IF(D167="Direct",PARAMETRES!$C$20,IF(D167="Centrale",PARAMETRES!$C$21,0))</f>
        <v>0.07</v>
      </c>
      <c r="I167" s="38">
        <f t="shared" si="2"/>
        <v>29.6541</v>
      </c>
      <c r="J167" s="40">
        <f t="shared" si="3"/>
        <v>3</v>
      </c>
      <c r="K167" s="40">
        <f t="shared" si="4"/>
        <v>2026</v>
      </c>
      <c r="L167" s="30">
        <f t="shared" si="5"/>
        <v>1</v>
      </c>
    </row>
    <row r="168" ht="15.75" customHeight="1">
      <c r="A168" s="21">
        <v>46083.0</v>
      </c>
      <c r="B168" s="21" t="s">
        <v>348</v>
      </c>
      <c r="C168" s="43" t="s">
        <v>7</v>
      </c>
      <c r="D168" s="30" t="str">
        <f>IF(C168&lt;&gt;"",VLOOKUP(C168,ENSEIGNES!$B$2:$D971,2,FALSE),"")</f>
        <v>Centrale</v>
      </c>
      <c r="E168" s="30" t="str">
        <f>IF(C168&lt;&gt;"",VLOOKUP(C168,ENSEIGNES!$B$2:$D$47,3,FALSE),"")</f>
        <v>BROCARD</v>
      </c>
      <c r="F168" s="109">
        <v>340.34</v>
      </c>
      <c r="G168" s="32">
        <f t="shared" si="8"/>
        <v>359.0587</v>
      </c>
      <c r="H168" s="34">
        <f>IF(D168="Direct",PARAMETRES!$C$20,IF(D168="Centrale",PARAMETRES!$C$21,0))</f>
        <v>0.05</v>
      </c>
      <c r="I168" s="38">
        <f t="shared" si="2"/>
        <v>17.017</v>
      </c>
      <c r="J168" s="40">
        <f t="shared" si="3"/>
        <v>3</v>
      </c>
      <c r="K168" s="40">
        <f t="shared" si="4"/>
        <v>2026</v>
      </c>
      <c r="L168" s="30">
        <f t="shared" si="5"/>
        <v>1</v>
      </c>
    </row>
    <row r="169" ht="15.75" customHeight="1">
      <c r="A169" s="21">
        <v>46085.0</v>
      </c>
      <c r="B169" s="21" t="s">
        <v>349</v>
      </c>
      <c r="C169" s="43" t="s">
        <v>7</v>
      </c>
      <c r="D169" s="30" t="str">
        <f>IF(C169&lt;&gt;"",VLOOKUP(C169,ENSEIGNES!$B$2:$D971,2,FALSE),"")</f>
        <v>Centrale</v>
      </c>
      <c r="E169" s="30" t="str">
        <f>IF(C169&lt;&gt;"",VLOOKUP(C169,ENSEIGNES!$B$2:$D$47,3,FALSE),"")</f>
        <v>BROCARD</v>
      </c>
      <c r="F169" s="109">
        <v>267.1</v>
      </c>
      <c r="G169" s="32">
        <f t="shared" si="8"/>
        <v>281.7905</v>
      </c>
      <c r="H169" s="34">
        <f>IF(D169="Direct",PARAMETRES!$C$20,IF(D169="Centrale",PARAMETRES!$C$21,0))</f>
        <v>0.05</v>
      </c>
      <c r="I169" s="38">
        <f t="shared" si="2"/>
        <v>13.355</v>
      </c>
      <c r="J169" s="40">
        <f t="shared" si="3"/>
        <v>3</v>
      </c>
      <c r="K169" s="40">
        <f t="shared" si="4"/>
        <v>2026</v>
      </c>
      <c r="L169" s="30">
        <f t="shared" si="5"/>
        <v>0</v>
      </c>
    </row>
    <row r="170" ht="15.75" customHeight="1">
      <c r="A170" s="21">
        <v>46085.0</v>
      </c>
      <c r="B170" s="21" t="s">
        <v>350</v>
      </c>
      <c r="C170" s="43" t="s">
        <v>7</v>
      </c>
      <c r="D170" s="30" t="str">
        <f>IF(C170&lt;&gt;"",VLOOKUP(C170,ENSEIGNES!$B$2:$D971,2,FALSE),"")</f>
        <v>Centrale</v>
      </c>
      <c r="E170" s="30" t="str">
        <f>IF(C170&lt;&gt;"",VLOOKUP(C170,ENSEIGNES!$B$2:$D$47,3,FALSE),"")</f>
        <v>BROCARD</v>
      </c>
      <c r="F170" s="109">
        <v>254.18</v>
      </c>
      <c r="G170" s="32">
        <f t="shared" si="8"/>
        <v>268.1599</v>
      </c>
      <c r="H170" s="34">
        <f>IF(D170="Direct",PARAMETRES!$C$20,IF(D170="Centrale",PARAMETRES!$C$21,0))</f>
        <v>0.05</v>
      </c>
      <c r="I170" s="38">
        <f t="shared" si="2"/>
        <v>12.709</v>
      </c>
      <c r="J170" s="40">
        <f t="shared" si="3"/>
        <v>3</v>
      </c>
      <c r="K170" s="40">
        <f t="shared" si="4"/>
        <v>2026</v>
      </c>
      <c r="L170" s="30">
        <f t="shared" si="5"/>
        <v>0</v>
      </c>
    </row>
    <row r="171" ht="15.75" customHeight="1">
      <c r="A171" s="21">
        <v>46085.0</v>
      </c>
      <c r="B171" s="21" t="s">
        <v>351</v>
      </c>
      <c r="C171" s="43" t="s">
        <v>7</v>
      </c>
      <c r="D171" s="30" t="str">
        <f>IF(C171&lt;&gt;"",VLOOKUP(C171,ENSEIGNES!$B$2:$D971,2,FALSE),"")</f>
        <v>Centrale</v>
      </c>
      <c r="E171" s="30" t="str">
        <f>IF(C171&lt;&gt;"",VLOOKUP(C171,ENSEIGNES!$B$2:$D$47,3,FALSE),"")</f>
        <v>BROCARD</v>
      </c>
      <c r="F171" s="109">
        <v>547.12</v>
      </c>
      <c r="G171" s="32">
        <f t="shared" si="8"/>
        <v>577.2116</v>
      </c>
      <c r="H171" s="34">
        <f>IF(D171="Direct",PARAMETRES!$C$20,IF(D171="Centrale",PARAMETRES!$C$21,0))</f>
        <v>0.05</v>
      </c>
      <c r="I171" s="38">
        <f t="shared" si="2"/>
        <v>27.356</v>
      </c>
      <c r="J171" s="40">
        <f t="shared" si="3"/>
        <v>3</v>
      </c>
      <c r="K171" s="40">
        <f t="shared" si="4"/>
        <v>2026</v>
      </c>
      <c r="L171" s="30">
        <f t="shared" si="5"/>
        <v>0</v>
      </c>
    </row>
    <row r="172" ht="15.75" customHeight="1">
      <c r="A172" s="21">
        <v>46087.0</v>
      </c>
      <c r="B172" s="21" t="s">
        <v>352</v>
      </c>
      <c r="C172" s="43" t="s">
        <v>7</v>
      </c>
      <c r="D172" s="30" t="str">
        <f>IF(C172&lt;&gt;"",VLOOKUP(C172,ENSEIGNES!$B$2:$D971,2,FALSE),"")</f>
        <v>Centrale</v>
      </c>
      <c r="E172" s="30" t="str">
        <f>IF(C172&lt;&gt;"",VLOOKUP(C172,ENSEIGNES!$B$2:$D$47,3,FALSE),"")</f>
        <v>BROCARD</v>
      </c>
      <c r="F172" s="109">
        <v>168.01</v>
      </c>
      <c r="G172" s="32">
        <f t="shared" si="8"/>
        <v>177.25055</v>
      </c>
      <c r="H172" s="34">
        <f>IF(D172="Direct",PARAMETRES!$C$20,IF(D172="Centrale",PARAMETRES!$C$21,0))</f>
        <v>0.05</v>
      </c>
      <c r="I172" s="38">
        <f t="shared" si="2"/>
        <v>8.4005</v>
      </c>
      <c r="J172" s="40">
        <f t="shared" si="3"/>
        <v>3</v>
      </c>
      <c r="K172" s="40">
        <f t="shared" si="4"/>
        <v>2026</v>
      </c>
      <c r="L172" s="30">
        <f t="shared" si="5"/>
        <v>0</v>
      </c>
    </row>
    <row r="173" ht="15.75" customHeight="1">
      <c r="A173" s="21">
        <v>46087.0</v>
      </c>
      <c r="B173" s="21" t="s">
        <v>353</v>
      </c>
      <c r="C173" s="43" t="s">
        <v>7</v>
      </c>
      <c r="D173" s="30" t="str">
        <f>IF(C173&lt;&gt;"",VLOOKUP(C173,ENSEIGNES!$B$2:$D971,2,FALSE),"")</f>
        <v>Centrale</v>
      </c>
      <c r="E173" s="30" t="str">
        <f>IF(C173&lt;&gt;"",VLOOKUP(C173,ENSEIGNES!$B$2:$D$47,3,FALSE),"")</f>
        <v>BROCARD</v>
      </c>
      <c r="F173" s="109">
        <v>142.17</v>
      </c>
      <c r="G173" s="32">
        <f t="shared" si="8"/>
        <v>149.98935</v>
      </c>
      <c r="H173" s="34">
        <f>IF(D173="Direct",PARAMETRES!$C$20,IF(D173="Centrale",PARAMETRES!$C$21,0))</f>
        <v>0.05</v>
      </c>
      <c r="I173" s="38">
        <f t="shared" si="2"/>
        <v>7.1085</v>
      </c>
      <c r="J173" s="40">
        <f t="shared" si="3"/>
        <v>3</v>
      </c>
      <c r="K173" s="40">
        <f t="shared" si="4"/>
        <v>2026</v>
      </c>
      <c r="L173" s="30">
        <f t="shared" si="5"/>
        <v>0</v>
      </c>
    </row>
    <row r="174" ht="15.75" customHeight="1">
      <c r="A174" s="21">
        <v>46090.0</v>
      </c>
      <c r="B174" s="21" t="s">
        <v>354</v>
      </c>
      <c r="C174" s="43" t="s">
        <v>7</v>
      </c>
      <c r="D174" s="30" t="str">
        <f>IF(C174&lt;&gt;"",VLOOKUP(C174,ENSEIGNES!$B$2:$D971,2,FALSE),"")</f>
        <v>Centrale</v>
      </c>
      <c r="E174" s="30" t="str">
        <f>IF(C174&lt;&gt;"",VLOOKUP(C174,ENSEIGNES!$B$2:$D$47,3,FALSE),"")</f>
        <v>BROCARD</v>
      </c>
      <c r="F174" s="109">
        <v>353.26</v>
      </c>
      <c r="G174" s="32">
        <f t="shared" si="8"/>
        <v>372.6893</v>
      </c>
      <c r="H174" s="34">
        <f>IF(D174="Direct",PARAMETRES!$C$20,IF(D174="Centrale",PARAMETRES!$C$21,0))</f>
        <v>0.05</v>
      </c>
      <c r="I174" s="38">
        <f t="shared" si="2"/>
        <v>17.663</v>
      </c>
      <c r="J174" s="40">
        <f t="shared" si="3"/>
        <v>3</v>
      </c>
      <c r="K174" s="40">
        <f t="shared" si="4"/>
        <v>2026</v>
      </c>
      <c r="L174" s="30">
        <f t="shared" si="5"/>
        <v>0</v>
      </c>
    </row>
    <row r="175" ht="15.75" customHeight="1">
      <c r="A175" s="21">
        <v>46090.0</v>
      </c>
      <c r="B175" s="21" t="s">
        <v>355</v>
      </c>
      <c r="C175" s="43" t="s">
        <v>7</v>
      </c>
      <c r="D175" s="30" t="str">
        <f>IF(C175&lt;&gt;"",VLOOKUP(C175,ENSEIGNES!$B$2:$D971,2,FALSE),"")</f>
        <v>Centrale</v>
      </c>
      <c r="E175" s="30" t="str">
        <f>IF(C175&lt;&gt;"",VLOOKUP(C175,ENSEIGNES!$B$2:$D$47,3,FALSE),"")</f>
        <v>BROCARD</v>
      </c>
      <c r="F175" s="109">
        <v>224.02</v>
      </c>
      <c r="G175" s="32">
        <f t="shared" si="8"/>
        <v>236.3411</v>
      </c>
      <c r="H175" s="34">
        <f>IF(D175="Direct",PARAMETRES!$C$20,IF(D175="Centrale",PARAMETRES!$C$21,0))</f>
        <v>0.05</v>
      </c>
      <c r="I175" s="38">
        <f t="shared" si="2"/>
        <v>11.201</v>
      </c>
      <c r="J175" s="40">
        <f t="shared" si="3"/>
        <v>3</v>
      </c>
      <c r="K175" s="40">
        <f t="shared" si="4"/>
        <v>2026</v>
      </c>
      <c r="L175" s="30">
        <f t="shared" si="5"/>
        <v>0</v>
      </c>
    </row>
    <row r="176" ht="15.75" customHeight="1">
      <c r="A176" s="21">
        <v>46090.0</v>
      </c>
      <c r="B176" s="21" t="s">
        <v>356</v>
      </c>
      <c r="C176" s="43" t="s">
        <v>7</v>
      </c>
      <c r="D176" s="30" t="str">
        <f>IF(C176&lt;&gt;"",VLOOKUP(C176,ENSEIGNES!$B$2:$D971,2,FALSE),"")</f>
        <v>Centrale</v>
      </c>
      <c r="E176" s="30" t="str">
        <f>IF(C176&lt;&gt;"",VLOOKUP(C176,ENSEIGNES!$B$2:$D$47,3,FALSE),"")</f>
        <v>BROCARD</v>
      </c>
      <c r="F176" s="109">
        <v>336.03</v>
      </c>
      <c r="G176" s="32">
        <f t="shared" si="8"/>
        <v>354.51165</v>
      </c>
      <c r="H176" s="34">
        <f>IF(D176="Direct",PARAMETRES!$C$20,IF(D176="Centrale",PARAMETRES!$C$21,0))</f>
        <v>0.05</v>
      </c>
      <c r="I176" s="38">
        <f t="shared" si="2"/>
        <v>16.8015</v>
      </c>
      <c r="J176" s="40">
        <f t="shared" si="3"/>
        <v>3</v>
      </c>
      <c r="K176" s="40">
        <f t="shared" si="4"/>
        <v>2026</v>
      </c>
      <c r="L176" s="30">
        <f t="shared" si="5"/>
        <v>0</v>
      </c>
    </row>
    <row r="177" ht="15.75" customHeight="1">
      <c r="A177" s="21">
        <v>46092.0</v>
      </c>
      <c r="B177" s="21" t="s">
        <v>357</v>
      </c>
      <c r="C177" s="43" t="s">
        <v>7</v>
      </c>
      <c r="D177" s="30" t="str">
        <f>IF(C177&lt;&gt;"",VLOOKUP(C177,ENSEIGNES!$B$2:$D971,2,FALSE),"")</f>
        <v>Centrale</v>
      </c>
      <c r="E177" s="30" t="str">
        <f>IF(C177&lt;&gt;"",VLOOKUP(C177,ENSEIGNES!$B$2:$D$47,3,FALSE),"")</f>
        <v>BROCARD</v>
      </c>
      <c r="F177" s="109">
        <v>443.73</v>
      </c>
      <c r="G177" s="32">
        <f t="shared" si="8"/>
        <v>468.13515</v>
      </c>
      <c r="H177" s="34">
        <f>IF(D177="Direct",PARAMETRES!$C$20,IF(D177="Centrale",PARAMETRES!$C$21,0))</f>
        <v>0.05</v>
      </c>
      <c r="I177" s="38">
        <f t="shared" si="2"/>
        <v>22.1865</v>
      </c>
      <c r="J177" s="40">
        <f t="shared" si="3"/>
        <v>3</v>
      </c>
      <c r="K177" s="40">
        <f t="shared" si="4"/>
        <v>2026</v>
      </c>
      <c r="L177" s="30">
        <f t="shared" si="5"/>
        <v>0</v>
      </c>
    </row>
    <row r="178" ht="15.75" customHeight="1">
      <c r="A178" s="21">
        <v>46092.0</v>
      </c>
      <c r="B178" s="21" t="s">
        <v>358</v>
      </c>
      <c r="C178" s="43" t="s">
        <v>7</v>
      </c>
      <c r="D178" s="30" t="str">
        <f>IF(C178&lt;&gt;"",VLOOKUP(C178,ENSEIGNES!$B$2:$D971,2,FALSE),"")</f>
        <v>Centrale</v>
      </c>
      <c r="E178" s="30" t="str">
        <f>IF(C178&lt;&gt;"",VLOOKUP(C178,ENSEIGNES!$B$2:$D$47,3,FALSE),"")</f>
        <v>BROCARD</v>
      </c>
      <c r="F178" s="109">
        <v>254.18</v>
      </c>
      <c r="G178" s="32">
        <f t="shared" si="8"/>
        <v>268.1599</v>
      </c>
      <c r="H178" s="34">
        <f>IF(D178="Direct",PARAMETRES!$C$20,IF(D178="Centrale",PARAMETRES!$C$21,0))</f>
        <v>0.05</v>
      </c>
      <c r="I178" s="38">
        <f t="shared" si="2"/>
        <v>12.709</v>
      </c>
      <c r="J178" s="40">
        <f t="shared" si="3"/>
        <v>3</v>
      </c>
      <c r="K178" s="40">
        <f t="shared" si="4"/>
        <v>2026</v>
      </c>
      <c r="L178" s="30">
        <f t="shared" si="5"/>
        <v>0</v>
      </c>
    </row>
    <row r="179" ht="15.75" customHeight="1">
      <c r="A179" s="21">
        <v>46093.0</v>
      </c>
      <c r="B179" s="21" t="s">
        <v>359</v>
      </c>
      <c r="C179" s="43" t="s">
        <v>7</v>
      </c>
      <c r="D179" s="30" t="str">
        <f>IF(C179&lt;&gt;"",VLOOKUP(C179,ENSEIGNES!$B$2:$D971,2,FALSE),"")</f>
        <v>Centrale</v>
      </c>
      <c r="E179" s="30" t="str">
        <f>IF(C179&lt;&gt;"",VLOOKUP(C179,ENSEIGNES!$B$2:$D$47,3,FALSE),"")</f>
        <v>BROCARD</v>
      </c>
      <c r="F179" s="109">
        <v>443.73</v>
      </c>
      <c r="G179" s="32">
        <f t="shared" si="8"/>
        <v>468.13515</v>
      </c>
      <c r="H179" s="34">
        <f>IF(D179="Direct",PARAMETRES!$C$20,IF(D179="Centrale",PARAMETRES!$C$21,0))</f>
        <v>0.05</v>
      </c>
      <c r="I179" s="38">
        <f t="shared" si="2"/>
        <v>22.1865</v>
      </c>
      <c r="J179" s="40">
        <f t="shared" si="3"/>
        <v>3</v>
      </c>
      <c r="K179" s="40">
        <f t="shared" si="4"/>
        <v>2026</v>
      </c>
      <c r="L179" s="30">
        <f t="shared" si="5"/>
        <v>0</v>
      </c>
    </row>
    <row r="180" ht="15.75" customHeight="1">
      <c r="A180" s="21">
        <v>46094.0</v>
      </c>
      <c r="B180" s="21" t="s">
        <v>360</v>
      </c>
      <c r="C180" s="43" t="s">
        <v>7</v>
      </c>
      <c r="D180" s="30" t="str">
        <f>IF(C180&lt;&gt;"",VLOOKUP(C180,ENSEIGNES!$B$2:$D971,2,FALSE),"")</f>
        <v>Centrale</v>
      </c>
      <c r="E180" s="30" t="str">
        <f>IF(C180&lt;&gt;"",VLOOKUP(C180,ENSEIGNES!$B$2:$D$47,3,FALSE),"")</f>
        <v>BROCARD</v>
      </c>
      <c r="F180" s="109">
        <v>193.86</v>
      </c>
      <c r="G180" s="32">
        <f t="shared" si="8"/>
        <v>204.5223</v>
      </c>
      <c r="H180" s="34">
        <f>IF(D180="Direct",PARAMETRES!$C$20,IF(D180="Centrale",PARAMETRES!$C$21,0))</f>
        <v>0.05</v>
      </c>
      <c r="I180" s="38">
        <f t="shared" si="2"/>
        <v>9.693</v>
      </c>
      <c r="J180" s="40">
        <f t="shared" si="3"/>
        <v>3</v>
      </c>
      <c r="K180" s="40">
        <f t="shared" si="4"/>
        <v>2026</v>
      </c>
      <c r="L180" s="30">
        <f t="shared" si="5"/>
        <v>0</v>
      </c>
    </row>
    <row r="181" ht="15.75" customHeight="1">
      <c r="A181" s="21">
        <v>46097.0</v>
      </c>
      <c r="B181" s="21" t="s">
        <v>361</v>
      </c>
      <c r="C181" s="43" t="s">
        <v>7</v>
      </c>
      <c r="D181" s="30" t="str">
        <f>IF(C181&lt;&gt;"",VLOOKUP(C181,ENSEIGNES!$B$2:$D971,2,FALSE),"")</f>
        <v>Centrale</v>
      </c>
      <c r="E181" s="30" t="str">
        <f>IF(C181&lt;&gt;"",VLOOKUP(C181,ENSEIGNES!$B$2:$D$47,3,FALSE),"")</f>
        <v>BROCARD</v>
      </c>
      <c r="F181" s="109">
        <v>568.66</v>
      </c>
      <c r="G181" s="32">
        <f t="shared" si="8"/>
        <v>599.9363</v>
      </c>
      <c r="H181" s="34">
        <f>IF(D181="Direct",PARAMETRES!$C$20,IF(D181="Centrale",PARAMETRES!$C$21,0))</f>
        <v>0.05</v>
      </c>
      <c r="I181" s="38">
        <f t="shared" si="2"/>
        <v>28.433</v>
      </c>
      <c r="J181" s="40">
        <f t="shared" si="3"/>
        <v>3</v>
      </c>
      <c r="K181" s="40">
        <f t="shared" si="4"/>
        <v>2026</v>
      </c>
      <c r="L181" s="30">
        <f t="shared" si="5"/>
        <v>0</v>
      </c>
    </row>
    <row r="182" ht="15.75" customHeight="1">
      <c r="A182" s="21">
        <v>46097.0</v>
      </c>
      <c r="B182" s="21" t="s">
        <v>362</v>
      </c>
      <c r="C182" s="43" t="s">
        <v>7</v>
      </c>
      <c r="D182" s="30" t="str">
        <f>IF(C182&lt;&gt;"",VLOOKUP(C182,ENSEIGNES!$B$2:$D971,2,FALSE),"")</f>
        <v>Centrale</v>
      </c>
      <c r="E182" s="30" t="str">
        <f>IF(C182&lt;&gt;"",VLOOKUP(C182,ENSEIGNES!$B$2:$D$47,3,FALSE),"")</f>
        <v>BROCARD</v>
      </c>
      <c r="F182" s="109">
        <v>241.25</v>
      </c>
      <c r="G182" s="32">
        <f t="shared" si="8"/>
        <v>254.51875</v>
      </c>
      <c r="H182" s="34">
        <f>IF(D182="Direct",PARAMETRES!$C$20,IF(D182="Centrale",PARAMETRES!$C$21,0))</f>
        <v>0.05</v>
      </c>
      <c r="I182" s="38">
        <f t="shared" si="2"/>
        <v>12.0625</v>
      </c>
      <c r="J182" s="40">
        <f t="shared" si="3"/>
        <v>3</v>
      </c>
      <c r="K182" s="40">
        <f t="shared" si="4"/>
        <v>2026</v>
      </c>
      <c r="L182" s="30">
        <f t="shared" si="5"/>
        <v>0</v>
      </c>
    </row>
    <row r="183" ht="15.75" customHeight="1">
      <c r="A183" s="21">
        <v>46097.0</v>
      </c>
      <c r="B183" s="21" t="s">
        <v>363</v>
      </c>
      <c r="C183" s="43" t="s">
        <v>7</v>
      </c>
      <c r="D183" s="30" t="str">
        <f>IF(C183&lt;&gt;"",VLOOKUP(C183,ENSEIGNES!$B$2:$D971,2,FALSE),"")</f>
        <v>Centrale</v>
      </c>
      <c r="E183" s="30" t="str">
        <f>IF(C183&lt;&gt;"",VLOOKUP(C183,ENSEIGNES!$B$2:$D$47,3,FALSE),"")</f>
        <v>BROCARD</v>
      </c>
      <c r="F183" s="109">
        <v>693.6</v>
      </c>
      <c r="G183" s="32">
        <f t="shared" si="8"/>
        <v>731.748</v>
      </c>
      <c r="H183" s="34">
        <f>IF(D183="Direct",PARAMETRES!$C$20,IF(D183="Centrale",PARAMETRES!$C$21,0))</f>
        <v>0.05</v>
      </c>
      <c r="I183" s="38">
        <f t="shared" si="2"/>
        <v>34.68</v>
      </c>
      <c r="J183" s="40">
        <f t="shared" si="3"/>
        <v>3</v>
      </c>
      <c r="K183" s="40">
        <f t="shared" si="4"/>
        <v>2026</v>
      </c>
      <c r="L183" s="30">
        <f t="shared" si="5"/>
        <v>0</v>
      </c>
    </row>
    <row r="184" ht="15.75" customHeight="1">
      <c r="A184" s="21">
        <v>46099.0</v>
      </c>
      <c r="B184" s="21" t="s">
        <v>364</v>
      </c>
      <c r="C184" s="43" t="s">
        <v>7</v>
      </c>
      <c r="D184" s="30" t="str">
        <f>IF(C184&lt;&gt;"",VLOOKUP(C184,ENSEIGNES!$B$2:$D971,2,FALSE),"")</f>
        <v>Centrale</v>
      </c>
      <c r="E184" s="30" t="str">
        <f>IF(C184&lt;&gt;"",VLOOKUP(C184,ENSEIGNES!$B$2:$D$47,3,FALSE),"")</f>
        <v>BROCARD</v>
      </c>
      <c r="F184" s="109">
        <v>417.88</v>
      </c>
      <c r="G184" s="32">
        <f t="shared" si="8"/>
        <v>440.8634</v>
      </c>
      <c r="H184" s="34">
        <f>IF(D184="Direct",PARAMETRES!$C$20,IF(D184="Centrale",PARAMETRES!$C$21,0))</f>
        <v>0.05</v>
      </c>
      <c r="I184" s="38">
        <f t="shared" si="2"/>
        <v>20.894</v>
      </c>
      <c r="J184" s="40">
        <f t="shared" si="3"/>
        <v>3</v>
      </c>
      <c r="K184" s="40">
        <f t="shared" si="4"/>
        <v>2026</v>
      </c>
      <c r="L184" s="30">
        <f t="shared" si="5"/>
        <v>0</v>
      </c>
    </row>
    <row r="185" ht="15.75" customHeight="1">
      <c r="A185" s="21">
        <v>46099.0</v>
      </c>
      <c r="B185" s="21" t="s">
        <v>365</v>
      </c>
      <c r="C185" s="43" t="s">
        <v>7</v>
      </c>
      <c r="D185" s="30" t="str">
        <f>IF(C185&lt;&gt;"",VLOOKUP(C185,ENSEIGNES!$B$2:$D971,2,FALSE),"")</f>
        <v>Centrale</v>
      </c>
      <c r="E185" s="30" t="str">
        <f>IF(C185&lt;&gt;"",VLOOKUP(C185,ENSEIGNES!$B$2:$D$47,3,FALSE),"")</f>
        <v>BROCARD</v>
      </c>
      <c r="F185" s="109">
        <v>245.56</v>
      </c>
      <c r="G185" s="32">
        <f t="shared" si="8"/>
        <v>259.0658</v>
      </c>
      <c r="H185" s="34">
        <f>IF(D185="Direct",PARAMETRES!$C$20,IF(D185="Centrale",PARAMETRES!$C$21,0))</f>
        <v>0.05</v>
      </c>
      <c r="I185" s="38">
        <f t="shared" si="2"/>
        <v>12.278</v>
      </c>
      <c r="J185" s="40">
        <f t="shared" si="3"/>
        <v>3</v>
      </c>
      <c r="K185" s="40">
        <f t="shared" si="4"/>
        <v>2026</v>
      </c>
      <c r="L185" s="30">
        <f t="shared" si="5"/>
        <v>0</v>
      </c>
    </row>
    <row r="186" ht="15.75" customHeight="1">
      <c r="A186" s="21">
        <v>46104.0</v>
      </c>
      <c r="B186" s="21" t="s">
        <v>366</v>
      </c>
      <c r="C186" s="43" t="s">
        <v>7</v>
      </c>
      <c r="D186" s="30" t="str">
        <f>IF(C186&lt;&gt;"",VLOOKUP(C186,ENSEIGNES!$B$2:$D971,2,FALSE),"")</f>
        <v>Centrale</v>
      </c>
      <c r="E186" s="30" t="str">
        <f>IF(C186&lt;&gt;"",VLOOKUP(C186,ENSEIGNES!$B$2:$D$47,3,FALSE),"")</f>
        <v>BROCARD</v>
      </c>
      <c r="F186" s="109">
        <v>262.79</v>
      </c>
      <c r="G186" s="32">
        <f t="shared" si="8"/>
        <v>277.24345</v>
      </c>
      <c r="H186" s="34">
        <f>IF(D186="Direct",PARAMETRES!$C$20,IF(D186="Centrale",PARAMETRES!$C$21,0))</f>
        <v>0.05</v>
      </c>
      <c r="I186" s="38">
        <f t="shared" si="2"/>
        <v>13.1395</v>
      </c>
      <c r="J186" s="40">
        <f t="shared" si="3"/>
        <v>3</v>
      </c>
      <c r="K186" s="40">
        <f t="shared" si="4"/>
        <v>2026</v>
      </c>
      <c r="L186" s="30">
        <f t="shared" si="5"/>
        <v>0</v>
      </c>
    </row>
    <row r="187" ht="15.75" customHeight="1">
      <c r="A187" s="113">
        <v>46106.0</v>
      </c>
      <c r="B187" s="21" t="s">
        <v>367</v>
      </c>
      <c r="C187" s="43" t="s">
        <v>55</v>
      </c>
      <c r="D187" s="30" t="str">
        <f>IF(C187&lt;&gt;"",VLOOKUP(C187,ENSEIGNES!$B$2:$D971,2,FALSE),"")</f>
        <v>Direct</v>
      </c>
      <c r="E187" s="30" t="str">
        <f>IF(C187&lt;&gt;"",VLOOKUP(C187,ENSEIGNES!$B$2:$D$47,3,FALSE),"")</f>
        <v>CAP FRAIS</v>
      </c>
      <c r="F187" s="81">
        <v>464.0</v>
      </c>
      <c r="G187" s="32">
        <f t="shared" si="8"/>
        <v>489.52</v>
      </c>
      <c r="H187" s="34">
        <f>IF(D187="Direct",PARAMETRES!$C$20,IF(D187="Centrale",PARAMETRES!$C$21,0))</f>
        <v>0.07</v>
      </c>
      <c r="I187" s="38">
        <f t="shared" si="2"/>
        <v>32.48</v>
      </c>
      <c r="J187" s="40">
        <f t="shared" si="3"/>
        <v>3</v>
      </c>
      <c r="K187" s="40">
        <f t="shared" si="4"/>
        <v>2026</v>
      </c>
      <c r="L187" s="30">
        <f t="shared" si="5"/>
        <v>1</v>
      </c>
    </row>
    <row r="188" ht="15.75" customHeight="1">
      <c r="A188" s="113">
        <v>46093.0</v>
      </c>
      <c r="B188" s="21" t="s">
        <v>368</v>
      </c>
      <c r="C188" s="43" t="s">
        <v>80</v>
      </c>
      <c r="D188" s="30" t="str">
        <f>IF(C188&lt;&gt;"",VLOOKUP(C188,ENSEIGNES!$B$2:$D971,2,FALSE),"")</f>
        <v>Direct</v>
      </c>
      <c r="E188" s="30" t="str">
        <f>IF(C188&lt;&gt;"",VLOOKUP(C188,ENSEIGNES!$B$2:$D971,3,FALSE),"")</f>
        <v>SCHLESSER</v>
      </c>
      <c r="F188" s="81">
        <v>459.36</v>
      </c>
      <c r="G188" s="32">
        <f t="shared" si="8"/>
        <v>484.6248</v>
      </c>
      <c r="H188" s="34">
        <f>IF(D188="Direct",PARAMETRES!$C$20,IF(D188="Centrale",PARAMETRES!$C$21,0))</f>
        <v>0.07</v>
      </c>
      <c r="I188" s="38">
        <f t="shared" si="2"/>
        <v>32.1552</v>
      </c>
      <c r="J188" s="40">
        <f t="shared" si="3"/>
        <v>3</v>
      </c>
      <c r="K188" s="40">
        <f t="shared" si="4"/>
        <v>2026</v>
      </c>
      <c r="L188" s="30">
        <f t="shared" si="5"/>
        <v>1</v>
      </c>
    </row>
    <row r="189" ht="15.75" customHeight="1">
      <c r="A189" s="113">
        <v>46085.0</v>
      </c>
      <c r="B189" s="21" t="s">
        <v>369</v>
      </c>
      <c r="C189" s="43" t="s">
        <v>80</v>
      </c>
      <c r="D189" s="30" t="str">
        <f>IF(C189&lt;&gt;"",VLOOKUP(C189,ENSEIGNES!$B$2:$D971,2,FALSE),"")</f>
        <v>Direct</v>
      </c>
      <c r="E189" s="30" t="str">
        <f>IF(C189&lt;&gt;"",VLOOKUP(C189,ENSEIGNES!$B$2:$D971,3,FALSE),"")</f>
        <v>SCHLESSER</v>
      </c>
      <c r="F189" s="81">
        <v>482.56</v>
      </c>
      <c r="G189" s="32">
        <f t="shared" si="8"/>
        <v>509.1008</v>
      </c>
      <c r="H189" s="34">
        <f>IF(D189="Direct",PARAMETRES!$C$20,IF(D189="Centrale",PARAMETRES!$C$21,0))</f>
        <v>0.07</v>
      </c>
      <c r="I189" s="38">
        <f t="shared" si="2"/>
        <v>33.7792</v>
      </c>
      <c r="J189" s="40">
        <f t="shared" si="3"/>
        <v>3</v>
      </c>
      <c r="K189" s="40">
        <f t="shared" si="4"/>
        <v>2026</v>
      </c>
      <c r="L189" s="30">
        <f t="shared" si="5"/>
        <v>0</v>
      </c>
    </row>
    <row r="190" ht="15.75" customHeight="1">
      <c r="A190" s="113">
        <v>46100.0</v>
      </c>
      <c r="B190" s="21" t="s">
        <v>370</v>
      </c>
      <c r="C190" s="43" t="s">
        <v>82</v>
      </c>
      <c r="D190" s="30" t="str">
        <f>IF(C190&lt;&gt;"",VLOOKUP(C190,ENSEIGNES!$B$2:$D971,2,FALSE),"")</f>
        <v>Direct</v>
      </c>
      <c r="E190" s="30" t="str">
        <f>IF(C190&lt;&gt;"",VLOOKUP(C190,ENSEIGNES!$B$2:$D971,3,FALSE),"")</f>
        <v>BROCARD</v>
      </c>
      <c r="F190" s="81">
        <v>487.2</v>
      </c>
      <c r="G190" s="32">
        <f t="shared" si="8"/>
        <v>513.996</v>
      </c>
      <c r="H190" s="34">
        <f>IF(D190="Direct",PARAMETRES!$C$20,IF(D190="Centrale",PARAMETRES!$C$21,0))</f>
        <v>0.07</v>
      </c>
      <c r="I190" s="38">
        <f t="shared" si="2"/>
        <v>34.104</v>
      </c>
      <c r="J190" s="40">
        <f t="shared" si="3"/>
        <v>3</v>
      </c>
      <c r="K190" s="40">
        <f t="shared" si="4"/>
        <v>2026</v>
      </c>
      <c r="L190" s="30">
        <f t="shared" si="5"/>
        <v>1</v>
      </c>
    </row>
    <row r="191" ht="15.75" customHeight="1">
      <c r="A191" s="113">
        <v>46106.0</v>
      </c>
      <c r="B191" s="21" t="s">
        <v>371</v>
      </c>
      <c r="C191" s="43" t="s">
        <v>7</v>
      </c>
      <c r="D191" s="30" t="str">
        <f>IF(C191&lt;&gt;"",VLOOKUP(C191,ENSEIGNES!$B$2:$D971,2,FALSE),"")</f>
        <v>Centrale</v>
      </c>
      <c r="E191" s="30" t="str">
        <f>IF(C191&lt;&gt;"",VLOOKUP(C191,ENSEIGNES!$B$2:$D971,3,FALSE),"")</f>
        <v>BROCARD</v>
      </c>
      <c r="F191" s="81">
        <v>486.81</v>
      </c>
      <c r="G191" s="32">
        <f t="shared" si="8"/>
        <v>513.58455</v>
      </c>
      <c r="H191" s="34">
        <f>IF(D191="Direct",PARAMETRES!$C$20,IF(D191="Centrale",PARAMETRES!$C$21,0))</f>
        <v>0.05</v>
      </c>
      <c r="I191" s="38">
        <f t="shared" si="2"/>
        <v>24.3405</v>
      </c>
      <c r="J191" s="40">
        <f t="shared" si="3"/>
        <v>3</v>
      </c>
      <c r="K191" s="40">
        <f t="shared" si="4"/>
        <v>2026</v>
      </c>
      <c r="L191" s="30">
        <f t="shared" si="5"/>
        <v>0</v>
      </c>
    </row>
    <row r="192" ht="15.75" customHeight="1">
      <c r="A192" s="113">
        <v>46106.0</v>
      </c>
      <c r="B192" s="21" t="s">
        <v>372</v>
      </c>
      <c r="C192" s="43" t="s">
        <v>7</v>
      </c>
      <c r="D192" s="30" t="str">
        <f>IF(C192&lt;&gt;"",VLOOKUP(C192,ENSEIGNES!$B$2:$D971,2,FALSE),"")</f>
        <v>Centrale</v>
      </c>
      <c r="E192" s="30" t="str">
        <f>IF(C192&lt;&gt;"",VLOOKUP(C192,ENSEIGNES!$B$2:$D971,3,FALSE),"")</f>
        <v>BROCARD</v>
      </c>
      <c r="F192" s="81">
        <v>185.25</v>
      </c>
      <c r="G192" s="32">
        <f t="shared" si="8"/>
        <v>195.43875</v>
      </c>
      <c r="H192" s="34">
        <f>IF(D192="Direct",PARAMETRES!$C$20,IF(D192="Centrale",PARAMETRES!$C$21,0))</f>
        <v>0.05</v>
      </c>
      <c r="I192" s="38">
        <f t="shared" si="2"/>
        <v>9.2625</v>
      </c>
      <c r="J192" s="40">
        <f t="shared" si="3"/>
        <v>3</v>
      </c>
      <c r="K192" s="40">
        <f t="shared" si="4"/>
        <v>2026</v>
      </c>
      <c r="L192" s="30">
        <f t="shared" si="5"/>
        <v>0</v>
      </c>
    </row>
    <row r="193" ht="15.75" customHeight="1">
      <c r="A193" s="113">
        <v>46106.0</v>
      </c>
      <c r="B193" s="21" t="s">
        <v>373</v>
      </c>
      <c r="C193" s="43" t="s">
        <v>7</v>
      </c>
      <c r="D193" s="30" t="str">
        <f>IF(C193&lt;&gt;"",VLOOKUP(C193,ENSEIGNES!$B$2:$D971,2,FALSE),"")</f>
        <v>Centrale</v>
      </c>
      <c r="E193" s="30" t="str">
        <f>IF(C193&lt;&gt;"",VLOOKUP(C193,ENSEIGNES!$B$2:$D971,3,FALSE),"")</f>
        <v>BROCARD</v>
      </c>
      <c r="F193" s="81">
        <v>280.02</v>
      </c>
      <c r="G193" s="32">
        <f t="shared" si="8"/>
        <v>295.4211</v>
      </c>
      <c r="H193" s="34">
        <f>IF(D193="Direct",PARAMETRES!$C$20,IF(D193="Centrale",PARAMETRES!$C$21,0))</f>
        <v>0.05</v>
      </c>
      <c r="I193" s="38">
        <f t="shared" si="2"/>
        <v>14.001</v>
      </c>
      <c r="J193" s="40">
        <f t="shared" si="3"/>
        <v>3</v>
      </c>
      <c r="K193" s="40">
        <f t="shared" si="4"/>
        <v>2026</v>
      </c>
      <c r="L193" s="30">
        <f t="shared" si="5"/>
        <v>0</v>
      </c>
    </row>
    <row r="194" ht="15.75" customHeight="1">
      <c r="A194" s="113">
        <v>46108.0</v>
      </c>
      <c r="B194" s="21" t="s">
        <v>374</v>
      </c>
      <c r="C194" s="43" t="s">
        <v>7</v>
      </c>
      <c r="D194" s="30" t="str">
        <f>IF(C194&lt;&gt;"",VLOOKUP(C194,ENSEIGNES!$B$2:$D971,2,FALSE),"")</f>
        <v>Centrale</v>
      </c>
      <c r="E194" s="30" t="str">
        <f>IF(C194&lt;&gt;"",VLOOKUP(C194,ENSEIGNES!$B$2:$D971,3,FALSE),"")</f>
        <v>BROCARD</v>
      </c>
      <c r="F194" s="81">
        <v>417.88</v>
      </c>
      <c r="G194" s="32">
        <f t="shared" si="8"/>
        <v>440.8634</v>
      </c>
      <c r="H194" s="34">
        <f>IF(D194="Direct",PARAMETRES!$C$20,IF(D194="Centrale",PARAMETRES!$C$21,0))</f>
        <v>0.05</v>
      </c>
      <c r="I194" s="38">
        <f t="shared" si="2"/>
        <v>20.894</v>
      </c>
      <c r="J194" s="40">
        <f t="shared" si="3"/>
        <v>3</v>
      </c>
      <c r="K194" s="40">
        <f t="shared" si="4"/>
        <v>2026</v>
      </c>
      <c r="L194" s="30">
        <f t="shared" si="5"/>
        <v>0</v>
      </c>
    </row>
    <row r="195" ht="15.75" customHeight="1">
      <c r="A195" s="113">
        <v>46108.0</v>
      </c>
      <c r="B195" s="21" t="s">
        <v>375</v>
      </c>
      <c r="C195" s="43" t="s">
        <v>7</v>
      </c>
      <c r="D195" s="30" t="str">
        <f>IF(C195&lt;&gt;"",VLOOKUP(C195,ENSEIGNES!$B$2:$D971,2,FALSE),"")</f>
        <v>Centrale</v>
      </c>
      <c r="E195" s="30" t="str">
        <f>IF(C195&lt;&gt;"",VLOOKUP(C195,ENSEIGNES!$B$2:$D971,3,FALSE),"")</f>
        <v>BROCARD</v>
      </c>
      <c r="F195" s="81">
        <v>258.48</v>
      </c>
      <c r="G195" s="32">
        <f t="shared" si="8"/>
        <v>272.6964</v>
      </c>
      <c r="H195" s="34">
        <f>IF(D195="Direct",PARAMETRES!$C$20,IF(D195="Centrale",PARAMETRES!$C$21,0))</f>
        <v>0.05</v>
      </c>
      <c r="I195" s="38">
        <f t="shared" si="2"/>
        <v>12.924</v>
      </c>
      <c r="J195" s="40">
        <f t="shared" si="3"/>
        <v>3</v>
      </c>
      <c r="K195" s="40">
        <f t="shared" si="4"/>
        <v>2026</v>
      </c>
      <c r="L195" s="30">
        <f t="shared" si="5"/>
        <v>0</v>
      </c>
    </row>
    <row r="196" ht="15.75" customHeight="1">
      <c r="A196" s="113">
        <v>46108.0</v>
      </c>
      <c r="B196" s="21" t="s">
        <v>376</v>
      </c>
      <c r="C196" s="43" t="s">
        <v>7</v>
      </c>
      <c r="D196" s="30" t="str">
        <f>IF(C196&lt;&gt;"",VLOOKUP(C196,ENSEIGNES!$B$2:$D971,2,FALSE),"")</f>
        <v>Centrale</v>
      </c>
      <c r="E196" s="30" t="str">
        <f>IF(C196&lt;&gt;"",VLOOKUP(C196,ENSEIGNES!$B$2:$D971,3,FALSE),"")</f>
        <v>BROCARD</v>
      </c>
      <c r="F196" s="81">
        <v>267.1</v>
      </c>
      <c r="G196" s="32">
        <f t="shared" si="8"/>
        <v>281.7905</v>
      </c>
      <c r="H196" s="34">
        <f>IF(D196="Direct",PARAMETRES!$C$20,IF(D196="Centrale",PARAMETRES!$C$21,0))</f>
        <v>0.05</v>
      </c>
      <c r="I196" s="38">
        <f t="shared" si="2"/>
        <v>13.355</v>
      </c>
      <c r="J196" s="40">
        <f t="shared" si="3"/>
        <v>3</v>
      </c>
      <c r="K196" s="40">
        <f t="shared" si="4"/>
        <v>2026</v>
      </c>
      <c r="L196" s="30">
        <f t="shared" si="5"/>
        <v>0</v>
      </c>
    </row>
    <row r="197" ht="15.75" customHeight="1">
      <c r="A197" s="113">
        <v>46107.0</v>
      </c>
      <c r="B197" s="21" t="s">
        <v>377</v>
      </c>
      <c r="C197" s="43" t="s">
        <v>37</v>
      </c>
      <c r="D197" s="30" t="str">
        <f>IF(C197&lt;&gt;"",VLOOKUP(C197,ENSEIGNES!$B$2:$D971,2,FALSE),"")</f>
        <v>Centrale</v>
      </c>
      <c r="E197" s="30" t="str">
        <f>IF(C197&lt;&gt;"",VLOOKUP(C197,ENSEIGNES!$B$2:$D971,3,FALSE),"")</f>
        <v>CAP FRAIS</v>
      </c>
      <c r="F197" s="81">
        <v>525.58</v>
      </c>
      <c r="G197" s="32">
        <f t="shared" si="8"/>
        <v>554.4869</v>
      </c>
      <c r="H197" s="34">
        <f>IF(D197="Direct",PARAMETRES!$C$20,IF(D197="Centrale",PARAMETRES!$C$21,0))</f>
        <v>0.05</v>
      </c>
      <c r="I197" s="38">
        <f t="shared" si="2"/>
        <v>26.279</v>
      </c>
      <c r="J197" s="40">
        <f t="shared" si="3"/>
        <v>3</v>
      </c>
      <c r="K197" s="40">
        <f t="shared" si="4"/>
        <v>2026</v>
      </c>
      <c r="L197" s="30">
        <f t="shared" si="5"/>
        <v>0</v>
      </c>
    </row>
    <row r="198" ht="15.75" customHeight="1">
      <c r="A198" s="113">
        <v>46104.0</v>
      </c>
      <c r="B198" s="21" t="s">
        <v>378</v>
      </c>
      <c r="C198" s="43" t="s">
        <v>71</v>
      </c>
      <c r="D198" s="30" t="str">
        <f>IF(C198&lt;&gt;"",VLOOKUP(C198,ENSEIGNES!$B$2:$D971,2,FALSE),"")</f>
        <v>Direct</v>
      </c>
      <c r="E198" s="30" t="str">
        <f>IF(C198&lt;&gt;"",VLOOKUP(C198,ENSEIGNES!$B$2:$D971,3,FALSE),"")</f>
        <v>CAP FRAIS</v>
      </c>
      <c r="F198" s="81">
        <v>440.8</v>
      </c>
      <c r="G198" s="32">
        <f t="shared" si="8"/>
        <v>465.044</v>
      </c>
      <c r="H198" s="34">
        <f>IF(D198="Direct",PARAMETRES!$C$20,IF(D198="Centrale",PARAMETRES!$C$21,0))</f>
        <v>0.07</v>
      </c>
      <c r="I198" s="38">
        <f t="shared" si="2"/>
        <v>30.856</v>
      </c>
      <c r="J198" s="40">
        <f t="shared" si="3"/>
        <v>3</v>
      </c>
      <c r="K198" s="40">
        <f t="shared" si="4"/>
        <v>2026</v>
      </c>
      <c r="L198" s="30">
        <f t="shared" si="5"/>
        <v>0</v>
      </c>
    </row>
    <row r="199" ht="15.75" customHeight="1">
      <c r="A199" s="113">
        <v>46101.0</v>
      </c>
      <c r="B199" s="21" t="s">
        <v>379</v>
      </c>
      <c r="C199" s="43" t="s">
        <v>91</v>
      </c>
      <c r="D199" s="30" t="str">
        <f>IF(C199&lt;&gt;"",VLOOKUP(C199,ENSEIGNES!$B$2:$D971,2,FALSE),"")</f>
        <v>Centrale</v>
      </c>
      <c r="E199" s="30" t="str">
        <f>IF(C199&lt;&gt;"",VLOOKUP(C199,ENSEIGNES!$B$2:$D971,3,FALSE),"")</f>
        <v>CAP FRAIS</v>
      </c>
      <c r="F199" s="81">
        <v>417.6</v>
      </c>
      <c r="G199" s="32">
        <f t="shared" si="8"/>
        <v>440.568</v>
      </c>
      <c r="H199" s="34">
        <f>IF(D199="Direct",PARAMETRES!$C$20,IF(D199="Centrale",PARAMETRES!$C$21,0))</f>
        <v>0.05</v>
      </c>
      <c r="I199" s="38">
        <f t="shared" si="2"/>
        <v>20.88</v>
      </c>
      <c r="J199" s="40">
        <f t="shared" si="3"/>
        <v>3</v>
      </c>
      <c r="K199" s="40">
        <f t="shared" si="4"/>
        <v>2026</v>
      </c>
      <c r="L199" s="30">
        <f t="shared" si="5"/>
        <v>0</v>
      </c>
    </row>
    <row r="200" ht="15.75" customHeight="1">
      <c r="A200" s="113">
        <v>46097.0</v>
      </c>
      <c r="B200" s="21" t="s">
        <v>380</v>
      </c>
      <c r="C200" s="43" t="s">
        <v>92</v>
      </c>
      <c r="D200" s="30" t="str">
        <f>IF(C200&lt;&gt;"",VLOOKUP(C200,ENSEIGNES!$B$2:$D971,2,FALSE),"")</f>
        <v>Centrale</v>
      </c>
      <c r="E200" s="30" t="str">
        <f>IF(C200&lt;&gt;"",VLOOKUP(C200,ENSEIGNES!$B$2:$D971,3,FALSE),"")</f>
        <v>CAP FRAIS</v>
      </c>
      <c r="F200" s="81">
        <v>1572.96</v>
      </c>
      <c r="G200" s="32">
        <f t="shared" si="8"/>
        <v>1659.4728</v>
      </c>
      <c r="H200" s="34">
        <f>IF(D200="Direct",PARAMETRES!$C$20,IF(D200="Centrale",PARAMETRES!$C$21,0))</f>
        <v>0.05</v>
      </c>
      <c r="I200" s="38">
        <f t="shared" si="2"/>
        <v>78.648</v>
      </c>
      <c r="J200" s="40">
        <f t="shared" si="3"/>
        <v>3</v>
      </c>
      <c r="K200" s="40">
        <f t="shared" si="4"/>
        <v>2026</v>
      </c>
      <c r="L200" s="30">
        <f t="shared" si="5"/>
        <v>0</v>
      </c>
    </row>
    <row r="201" ht="15.75" customHeight="1">
      <c r="A201" s="113">
        <v>46104.0</v>
      </c>
      <c r="B201" s="21" t="s">
        <v>381</v>
      </c>
      <c r="C201" s="43" t="s">
        <v>62</v>
      </c>
      <c r="D201" s="30" t="str">
        <f>IF(C201&lt;&gt;"",VLOOKUP(C201,ENSEIGNES!$B$2:$D971,2,FALSE),"")</f>
        <v>Centrale</v>
      </c>
      <c r="E201" s="30" t="str">
        <f>IF(C201&lt;&gt;"",VLOOKUP(C201,ENSEIGNES!$B$2:$D971,3,FALSE),"")</f>
        <v>GMA GROUP</v>
      </c>
      <c r="F201" s="81">
        <v>1425.6</v>
      </c>
      <c r="G201" s="32"/>
      <c r="H201" s="34">
        <f>IF(D201="Direct",PARAMETRES!$C$20,IF(D201="Centrale",PARAMETRES!$C$21,0))</f>
        <v>0.05</v>
      </c>
      <c r="I201" s="38">
        <f t="shared" si="2"/>
        <v>71.28</v>
      </c>
      <c r="J201" s="40">
        <f t="shared" si="3"/>
        <v>3</v>
      </c>
      <c r="K201" s="40">
        <f t="shared" si="4"/>
        <v>2026</v>
      </c>
      <c r="L201" s="30">
        <f t="shared" si="5"/>
        <v>1</v>
      </c>
    </row>
    <row r="202" ht="15.75" customHeight="1">
      <c r="A202" s="113">
        <v>46097.0</v>
      </c>
      <c r="B202" s="21" t="s">
        <v>382</v>
      </c>
      <c r="C202" s="43" t="s">
        <v>62</v>
      </c>
      <c r="D202" s="30" t="str">
        <f>IF(C202&lt;&gt;"",VLOOKUP(C202,ENSEIGNES!$B$2:$D971,2,FALSE),"")</f>
        <v>Centrale</v>
      </c>
      <c r="E202" s="30" t="str">
        <f>IF(C202&lt;&gt;"",VLOOKUP(C202,ENSEIGNES!$B$2:$D971,3,FALSE),"")</f>
        <v>GMA GROUP</v>
      </c>
      <c r="F202" s="81">
        <v>1328.0</v>
      </c>
      <c r="G202" s="32"/>
      <c r="H202" s="34">
        <f>IF(D202="Direct",PARAMETRES!$C$20,IF(D202="Centrale",PARAMETRES!$C$21,0))</f>
        <v>0.05</v>
      </c>
      <c r="I202" s="38">
        <f t="shared" si="2"/>
        <v>66.4</v>
      </c>
      <c r="J202" s="40">
        <f t="shared" si="3"/>
        <v>3</v>
      </c>
      <c r="K202" s="40">
        <f t="shared" si="4"/>
        <v>2026</v>
      </c>
      <c r="L202" s="30">
        <f t="shared" si="5"/>
        <v>0</v>
      </c>
    </row>
    <row r="203" ht="15.75" customHeight="1">
      <c r="A203" s="113">
        <v>46090.0</v>
      </c>
      <c r="B203" s="21" t="s">
        <v>383</v>
      </c>
      <c r="C203" s="43" t="s">
        <v>62</v>
      </c>
      <c r="D203" s="30" t="str">
        <f>IF(C203&lt;&gt;"",VLOOKUP(C203,ENSEIGNES!$B$2:$D971,2,FALSE),"")</f>
        <v>Centrale</v>
      </c>
      <c r="E203" s="30" t="str">
        <f>IF(C203&lt;&gt;"",VLOOKUP(C203,ENSEIGNES!$B$2:$D971,3,FALSE),"")</f>
        <v>GMA GROUP</v>
      </c>
      <c r="F203" s="81">
        <v>1169.6</v>
      </c>
      <c r="G203" s="32"/>
      <c r="H203" s="34">
        <f>IF(D203="Direct",PARAMETRES!$C$20,IF(D203="Centrale",PARAMETRES!$C$21,0))</f>
        <v>0.05</v>
      </c>
      <c r="I203" s="38">
        <f t="shared" si="2"/>
        <v>58.48</v>
      </c>
      <c r="J203" s="40">
        <f t="shared" si="3"/>
        <v>3</v>
      </c>
      <c r="K203" s="40">
        <f t="shared" si="4"/>
        <v>2026</v>
      </c>
      <c r="L203" s="30">
        <f t="shared" si="5"/>
        <v>0</v>
      </c>
    </row>
    <row r="204" ht="15.75" customHeight="1">
      <c r="A204" s="113">
        <v>46085.0</v>
      </c>
      <c r="B204" s="21" t="s">
        <v>384</v>
      </c>
      <c r="C204" s="43" t="s">
        <v>62</v>
      </c>
      <c r="D204" s="30" t="str">
        <f>IF(C204&lt;&gt;"",VLOOKUP(C204,ENSEIGNES!$B$2:$D971,2,FALSE),"")</f>
        <v>Centrale</v>
      </c>
      <c r="E204" s="30" t="str">
        <f>IF(C204&lt;&gt;"",VLOOKUP(C204,ENSEIGNES!$B$2:$D971,3,FALSE),"")</f>
        <v>GMA GROUP</v>
      </c>
      <c r="F204" s="81">
        <v>1425.6</v>
      </c>
      <c r="G204" s="32"/>
      <c r="H204" s="34">
        <f>IF(D204="Direct",PARAMETRES!$C$20,IF(D204="Centrale",PARAMETRES!$C$21,0))</f>
        <v>0.05</v>
      </c>
      <c r="I204" s="38">
        <f t="shared" si="2"/>
        <v>71.28</v>
      </c>
      <c r="J204" s="40">
        <f t="shared" si="3"/>
        <v>3</v>
      </c>
      <c r="K204" s="40">
        <f t="shared" si="4"/>
        <v>2026</v>
      </c>
      <c r="L204" s="30">
        <f t="shared" si="5"/>
        <v>0</v>
      </c>
    </row>
    <row r="205" ht="15.75" customHeight="1">
      <c r="A205" s="113">
        <v>46112.0</v>
      </c>
      <c r="B205" s="21" t="s">
        <v>385</v>
      </c>
      <c r="C205" s="43" t="s">
        <v>91</v>
      </c>
      <c r="D205" s="30" t="str">
        <f>IF(C205&lt;&gt;"",VLOOKUP(C205,ENSEIGNES!$B$2:$D971,2,FALSE),"")</f>
        <v>Centrale</v>
      </c>
      <c r="E205" s="30" t="str">
        <f>IF(C205&lt;&gt;"",VLOOKUP(C205,ENSEIGNES!$B$2:$D971,3,FALSE),"")</f>
        <v>CAP FRAIS</v>
      </c>
      <c r="F205" s="81">
        <v>426.88</v>
      </c>
      <c r="G205" s="32">
        <f t="shared" ref="G205:G269" si="9">F205*(1+5.5%)</f>
        <v>450.3584</v>
      </c>
      <c r="H205" s="34">
        <f>IF(D205="Direct",PARAMETRES!$C$20,IF(D205="Centrale",PARAMETRES!$C$21,0))</f>
        <v>0.05</v>
      </c>
      <c r="I205" s="38">
        <f t="shared" si="2"/>
        <v>21.344</v>
      </c>
      <c r="J205" s="40">
        <f t="shared" si="3"/>
        <v>3</v>
      </c>
      <c r="K205" s="40">
        <f t="shared" si="4"/>
        <v>2026</v>
      </c>
      <c r="L205" s="30">
        <f t="shared" si="5"/>
        <v>0</v>
      </c>
    </row>
    <row r="206" ht="15.75" customHeight="1">
      <c r="A206" s="113">
        <v>46111.0</v>
      </c>
      <c r="B206" s="21" t="s">
        <v>386</v>
      </c>
      <c r="C206" s="43" t="s">
        <v>39</v>
      </c>
      <c r="D206" s="30" t="str">
        <f>IF(C206&lt;&gt;"",VLOOKUP(C206,ENSEIGNES!$B$2:$D971,2,FALSE),"")</f>
        <v>Direct</v>
      </c>
      <c r="E206" s="30" t="str">
        <f>IF(C206&lt;&gt;"",VLOOKUP(C206,ENSEIGNES!$B$2:$D971,3,FALSE),"")</f>
        <v>CAP FRAIS</v>
      </c>
      <c r="F206" s="81">
        <v>459.36</v>
      </c>
      <c r="G206" s="32">
        <f t="shared" si="9"/>
        <v>484.6248</v>
      </c>
      <c r="H206" s="34">
        <f>IF(D206="Direct",PARAMETRES!$C$20,IF(D206="Centrale",PARAMETRES!$C$21,0))</f>
        <v>0.07</v>
      </c>
      <c r="I206" s="38">
        <f t="shared" si="2"/>
        <v>32.1552</v>
      </c>
      <c r="J206" s="40">
        <f t="shared" si="3"/>
        <v>3</v>
      </c>
      <c r="K206" s="40">
        <f t="shared" si="4"/>
        <v>2026</v>
      </c>
      <c r="L206" s="30">
        <f t="shared" si="5"/>
        <v>1</v>
      </c>
    </row>
    <row r="207" ht="15.75" customHeight="1">
      <c r="A207" s="113">
        <v>46111.0</v>
      </c>
      <c r="B207" s="21" t="s">
        <v>387</v>
      </c>
      <c r="C207" s="43" t="s">
        <v>56</v>
      </c>
      <c r="D207" s="30" t="str">
        <f>IF(C207&lt;&gt;"",VLOOKUP(C207,ENSEIGNES!$B$2:$D971,2,FALSE),"")</f>
        <v>Direct</v>
      </c>
      <c r="E207" s="30" t="str">
        <f>IF(C207&lt;&gt;"",VLOOKUP(C207,ENSEIGNES!$B$2:$D971,3,FALSE),"")</f>
        <v>CAP FRAIS</v>
      </c>
      <c r="F207" s="81">
        <v>751.68</v>
      </c>
      <c r="G207" s="32">
        <f t="shared" si="9"/>
        <v>793.0224</v>
      </c>
      <c r="H207" s="34">
        <f>IF(D207="Direct",PARAMETRES!$C$20,IF(D207="Centrale",PARAMETRES!$C$21,0))</f>
        <v>0.07</v>
      </c>
      <c r="I207" s="38">
        <f t="shared" si="2"/>
        <v>52.6176</v>
      </c>
      <c r="J207" s="40">
        <f t="shared" si="3"/>
        <v>3</v>
      </c>
      <c r="K207" s="40">
        <f t="shared" si="4"/>
        <v>2026</v>
      </c>
      <c r="L207" s="30">
        <f t="shared" si="5"/>
        <v>1</v>
      </c>
    </row>
    <row r="208" ht="15.75" customHeight="1">
      <c r="A208" s="113">
        <v>46111.0</v>
      </c>
      <c r="B208" s="21" t="s">
        <v>388</v>
      </c>
      <c r="C208" s="43" t="s">
        <v>61</v>
      </c>
      <c r="D208" s="30" t="str">
        <f>IF(C208&lt;&gt;"",VLOOKUP(C208,ENSEIGNES!$B$2:$D971,2,FALSE),"")</f>
        <v>Direct</v>
      </c>
      <c r="E208" s="30" t="str">
        <f>IF(C208&lt;&gt;"",VLOOKUP(C208,ENSEIGNES!$B$2:$D971,3,FALSE),"")</f>
        <v>BROCARD</v>
      </c>
      <c r="F208" s="81">
        <v>487.2</v>
      </c>
      <c r="G208" s="32">
        <f t="shared" si="9"/>
        <v>513.996</v>
      </c>
      <c r="H208" s="34">
        <f>IF(D208="Direct",PARAMETRES!$C$20,IF(D208="Centrale",PARAMETRES!$C$21,0))</f>
        <v>0.07</v>
      </c>
      <c r="I208" s="38">
        <f t="shared" si="2"/>
        <v>34.104</v>
      </c>
      <c r="J208" s="40">
        <f t="shared" si="3"/>
        <v>3</v>
      </c>
      <c r="K208" s="40">
        <f t="shared" si="4"/>
        <v>2026</v>
      </c>
      <c r="L208" s="30">
        <f t="shared" si="5"/>
        <v>1</v>
      </c>
    </row>
    <row r="209" ht="15.75" customHeight="1">
      <c r="A209" s="113">
        <v>46111.0</v>
      </c>
      <c r="B209" s="21" t="s">
        <v>389</v>
      </c>
      <c r="C209" s="43" t="s">
        <v>37</v>
      </c>
      <c r="D209" s="30" t="str">
        <f>IF(C209&lt;&gt;"",VLOOKUP(C209,ENSEIGNES!$B$2:$D971,2,FALSE),"")</f>
        <v>Centrale</v>
      </c>
      <c r="E209" s="30" t="str">
        <f>IF(C209&lt;&gt;"",VLOOKUP(C209,ENSEIGNES!$B$2:$D971,3,FALSE),"")</f>
        <v>CAP FRAIS</v>
      </c>
      <c r="F209" s="81">
        <v>340.34</v>
      </c>
      <c r="G209" s="32">
        <f t="shared" si="9"/>
        <v>359.0587</v>
      </c>
      <c r="H209" s="34">
        <f>IF(D209="Direct",PARAMETRES!$C$20,IF(D209="Centrale",PARAMETRES!$C$21,0))</f>
        <v>0.05</v>
      </c>
      <c r="I209" s="38">
        <f t="shared" si="2"/>
        <v>17.017</v>
      </c>
      <c r="J209" s="40">
        <f t="shared" si="3"/>
        <v>3</v>
      </c>
      <c r="K209" s="40">
        <f t="shared" si="4"/>
        <v>2026</v>
      </c>
      <c r="L209" s="30">
        <f t="shared" si="5"/>
        <v>0</v>
      </c>
    </row>
    <row r="210" ht="15.75" customHeight="1">
      <c r="A210" s="113">
        <v>46111.0</v>
      </c>
      <c r="B210" s="21" t="s">
        <v>390</v>
      </c>
      <c r="C210" s="43" t="s">
        <v>62</v>
      </c>
      <c r="D210" s="30" t="str">
        <f>IF(C210&lt;&gt;"",VLOOKUP(C210,ENSEIGNES!$B$2:$D971,2,FALSE),"")</f>
        <v>Centrale</v>
      </c>
      <c r="E210" s="30" t="str">
        <f>IF(C210&lt;&gt;"",VLOOKUP(C210,ENSEIGNES!$B$2:$D971,3,FALSE),"")</f>
        <v>GMA GROUP</v>
      </c>
      <c r="F210" s="81">
        <v>1425.6</v>
      </c>
      <c r="G210" s="32">
        <f t="shared" si="9"/>
        <v>1504.008</v>
      </c>
      <c r="H210" s="34">
        <f>IF(D210="Direct",PARAMETRES!$C$20,IF(D210="Centrale",PARAMETRES!$C$21,0))</f>
        <v>0.05</v>
      </c>
      <c r="I210" s="38">
        <f t="shared" si="2"/>
        <v>71.28</v>
      </c>
      <c r="J210" s="40">
        <f t="shared" si="3"/>
        <v>3</v>
      </c>
      <c r="K210" s="40">
        <f t="shared" si="4"/>
        <v>2026</v>
      </c>
      <c r="L210" s="30">
        <f t="shared" si="5"/>
        <v>0</v>
      </c>
    </row>
    <row r="211" ht="15.75" customHeight="1">
      <c r="A211" s="113">
        <v>46113.0</v>
      </c>
      <c r="B211" s="21" t="s">
        <v>391</v>
      </c>
      <c r="C211" s="43" t="s">
        <v>91</v>
      </c>
      <c r="D211" s="30" t="str">
        <f>IF(C211&lt;&gt;"",VLOOKUP(C211,ENSEIGNES!$B$2:$D971,2,FALSE),"")</f>
        <v>Centrale</v>
      </c>
      <c r="E211" s="30" t="str">
        <f>IF(C211&lt;&gt;"",VLOOKUP(C211,ENSEIGNES!$B$2:$D971,3,FALSE),"")</f>
        <v>CAP FRAIS</v>
      </c>
      <c r="F211" s="81">
        <v>320.16</v>
      </c>
      <c r="G211" s="32">
        <f t="shared" si="9"/>
        <v>337.7688</v>
      </c>
      <c r="H211" s="34">
        <f>IF(D211="Direct",PARAMETRES!$C$20,IF(D211="Centrale",PARAMETRES!$C$21,0))</f>
        <v>0.05</v>
      </c>
      <c r="I211" s="38">
        <f t="shared" si="2"/>
        <v>16.008</v>
      </c>
      <c r="J211" s="40">
        <f t="shared" si="3"/>
        <v>4</v>
      </c>
      <c r="K211" s="40">
        <f t="shared" si="4"/>
        <v>2026</v>
      </c>
      <c r="L211" s="30">
        <f t="shared" si="5"/>
        <v>1</v>
      </c>
    </row>
    <row r="212" ht="15.75" customHeight="1">
      <c r="A212" s="113">
        <v>46115.0</v>
      </c>
      <c r="B212" s="21" t="s">
        <v>392</v>
      </c>
      <c r="C212" s="43" t="s">
        <v>60</v>
      </c>
      <c r="D212" s="30" t="str">
        <f>IF(C212&lt;&gt;"",VLOOKUP(C212,ENSEIGNES!$B$2:$D971,2,FALSE),"")</f>
        <v>Direct</v>
      </c>
      <c r="E212" s="30" t="str">
        <f>IF(C212&lt;&gt;"",VLOOKUP(C212,ENSEIGNES!$B$2:$D971,3,FALSE),"")</f>
        <v>CAP FRAIS</v>
      </c>
      <c r="F212" s="81">
        <v>607.84</v>
      </c>
      <c r="G212" s="32">
        <f t="shared" si="9"/>
        <v>641.2712</v>
      </c>
      <c r="H212" s="34">
        <f>IF(D212="Direct",PARAMETRES!$C$20,IF(D212="Centrale",PARAMETRES!$C$21,0))</f>
        <v>0.07</v>
      </c>
      <c r="I212" s="38">
        <f t="shared" si="2"/>
        <v>42.5488</v>
      </c>
      <c r="J212" s="40">
        <f t="shared" si="3"/>
        <v>4</v>
      </c>
      <c r="K212" s="40">
        <f t="shared" si="4"/>
        <v>2026</v>
      </c>
      <c r="L212" s="30">
        <f t="shared" si="5"/>
        <v>1</v>
      </c>
    </row>
    <row r="213" ht="15.75" customHeight="1">
      <c r="A213" s="113">
        <v>46115.0</v>
      </c>
      <c r="B213" s="21" t="s">
        <v>393</v>
      </c>
      <c r="C213" s="43" t="s">
        <v>91</v>
      </c>
      <c r="D213" s="30" t="str">
        <f>IF(C213&lt;&gt;"",VLOOKUP(C213,ENSEIGNES!$B$2:$D971,2,FALSE),"")</f>
        <v>Centrale</v>
      </c>
      <c r="E213" s="30" t="str">
        <f>IF(C213&lt;&gt;"",VLOOKUP(C213,ENSEIGNES!$B$2:$D971,3,FALSE),"")</f>
        <v>CAP FRAIS</v>
      </c>
      <c r="F213" s="81">
        <v>501.12</v>
      </c>
      <c r="G213" s="32">
        <f t="shared" si="9"/>
        <v>528.6816</v>
      </c>
      <c r="H213" s="34">
        <f>IF(D213="Direct",PARAMETRES!$C$20,IF(D213="Centrale",PARAMETRES!$C$21,0))</f>
        <v>0.05</v>
      </c>
      <c r="I213" s="38">
        <f t="shared" si="2"/>
        <v>25.056</v>
      </c>
      <c r="J213" s="40">
        <f t="shared" si="3"/>
        <v>4</v>
      </c>
      <c r="K213" s="40">
        <f t="shared" si="4"/>
        <v>2026</v>
      </c>
      <c r="L213" s="30">
        <f t="shared" si="5"/>
        <v>0</v>
      </c>
    </row>
    <row r="214" ht="15.75" customHeight="1">
      <c r="A214" s="113">
        <v>46121.0</v>
      </c>
      <c r="B214" s="21" t="s">
        <v>394</v>
      </c>
      <c r="C214" s="43" t="s">
        <v>86</v>
      </c>
      <c r="D214" s="30" t="str">
        <f>IF(C214&lt;&gt;"",VLOOKUP(C214,ENSEIGNES!$B$2:$D971,2,FALSE),"")</f>
        <v>Direct</v>
      </c>
      <c r="E214" s="30" t="str">
        <f>IF(C214&lt;&gt;"",VLOOKUP(C214,ENSEIGNES!$B$2:$D971,3,FALSE),"")</f>
        <v>CAP FRAIS</v>
      </c>
      <c r="F214" s="81">
        <v>436.16</v>
      </c>
      <c r="G214" s="32">
        <f t="shared" si="9"/>
        <v>460.1488</v>
      </c>
      <c r="H214" s="34">
        <f>IF(D214="Direct",PARAMETRES!$C$20,IF(D214="Centrale",PARAMETRES!$C$21,0))</f>
        <v>0.07</v>
      </c>
      <c r="I214" s="38">
        <f t="shared" si="2"/>
        <v>30.5312</v>
      </c>
      <c r="J214" s="40">
        <f t="shared" si="3"/>
        <v>4</v>
      </c>
      <c r="K214" s="40">
        <f t="shared" si="4"/>
        <v>2026</v>
      </c>
      <c r="L214" s="30">
        <f t="shared" si="5"/>
        <v>1</v>
      </c>
    </row>
    <row r="215" ht="15.75" customHeight="1">
      <c r="A215" s="113">
        <v>46121.0</v>
      </c>
      <c r="B215" s="21" t="s">
        <v>395</v>
      </c>
      <c r="C215" s="43" t="s">
        <v>32</v>
      </c>
      <c r="D215" s="30" t="str">
        <f>IF(C215&lt;&gt;"",VLOOKUP(C215,ENSEIGNES!$B$2:$D971,2,FALSE),"")</f>
        <v>Direct</v>
      </c>
      <c r="E215" s="30" t="str">
        <f>IF(C215&lt;&gt;"",VLOOKUP(C215,ENSEIGNES!$B$2:$D971,3,FALSE),"")</f>
        <v>CAP FRAIS</v>
      </c>
      <c r="F215" s="81">
        <v>380.48</v>
      </c>
      <c r="G215" s="32">
        <f t="shared" si="9"/>
        <v>401.4064</v>
      </c>
      <c r="H215" s="34">
        <f>IF(D215="Direct",PARAMETRES!$C$20,IF(D215="Centrale",PARAMETRES!$C$21,0))</f>
        <v>0.07</v>
      </c>
      <c r="I215" s="38">
        <f t="shared" si="2"/>
        <v>26.6336</v>
      </c>
      <c r="J215" s="40">
        <f t="shared" si="3"/>
        <v>4</v>
      </c>
      <c r="K215" s="40">
        <f t="shared" si="4"/>
        <v>2026</v>
      </c>
      <c r="L215" s="30">
        <f t="shared" si="5"/>
        <v>1</v>
      </c>
    </row>
    <row r="216" ht="15.75" customHeight="1">
      <c r="A216" s="113">
        <v>46122.0</v>
      </c>
      <c r="B216" s="21" t="s">
        <v>396</v>
      </c>
      <c r="C216" s="43" t="s">
        <v>92</v>
      </c>
      <c r="D216" s="30" t="str">
        <f>IF(C216&lt;&gt;"",VLOOKUP(C216,ENSEIGNES!$B$2:$D971,2,FALSE),"")</f>
        <v>Centrale</v>
      </c>
      <c r="E216" s="30" t="str">
        <f>IF(C216&lt;&gt;"",VLOOKUP(C216,ENSEIGNES!$B$2:$D971,3,FALSE),"")</f>
        <v>CAP FRAIS</v>
      </c>
      <c r="F216" s="81">
        <v>431.52</v>
      </c>
      <c r="G216" s="32">
        <f t="shared" si="9"/>
        <v>455.2536</v>
      </c>
      <c r="H216" s="34">
        <f>IF(D216="Direct",PARAMETRES!$C$20,IF(D216="Centrale",PARAMETRES!$C$21,0))</f>
        <v>0.05</v>
      </c>
      <c r="I216" s="38">
        <f t="shared" si="2"/>
        <v>21.576</v>
      </c>
      <c r="J216" s="40">
        <f t="shared" si="3"/>
        <v>4</v>
      </c>
      <c r="K216" s="40">
        <f t="shared" si="4"/>
        <v>2026</v>
      </c>
      <c r="L216" s="30">
        <f t="shared" si="5"/>
        <v>1</v>
      </c>
    </row>
    <row r="217" ht="15.75" customHeight="1">
      <c r="A217" s="113">
        <v>46123.0</v>
      </c>
      <c r="B217" s="21" t="s">
        <v>397</v>
      </c>
      <c r="C217" s="43" t="s">
        <v>91</v>
      </c>
      <c r="D217" s="30" t="str">
        <f>IF(C217&lt;&gt;"",VLOOKUP(C217,ENSEIGNES!$B$2:$D971,2,FALSE),"")</f>
        <v>Centrale</v>
      </c>
      <c r="E217" s="30" t="str">
        <f>IF(C217&lt;&gt;"",VLOOKUP(C217,ENSEIGNES!$B$2:$D971,3,FALSE),"")</f>
        <v>CAP FRAIS</v>
      </c>
      <c r="F217" s="81">
        <v>519.68</v>
      </c>
      <c r="G217" s="32">
        <f t="shared" si="9"/>
        <v>548.2624</v>
      </c>
      <c r="H217" s="34">
        <f>IF(D217="Direct",PARAMETRES!$C$20,IF(D217="Centrale",PARAMETRES!$C$21,0))</f>
        <v>0.05</v>
      </c>
      <c r="I217" s="38">
        <f t="shared" si="2"/>
        <v>25.984</v>
      </c>
      <c r="J217" s="40">
        <f t="shared" si="3"/>
        <v>4</v>
      </c>
      <c r="K217" s="40">
        <f t="shared" si="4"/>
        <v>2026</v>
      </c>
      <c r="L217" s="30">
        <f t="shared" si="5"/>
        <v>0</v>
      </c>
    </row>
    <row r="218" ht="15.75" customHeight="1">
      <c r="A218" s="113">
        <v>46125.0</v>
      </c>
      <c r="B218" s="21" t="s">
        <v>398</v>
      </c>
      <c r="C218" s="43" t="s">
        <v>91</v>
      </c>
      <c r="D218" s="30" t="str">
        <f>IF(C218&lt;&gt;"",VLOOKUP(C218,ENSEIGNES!$B$2:$D971,2,FALSE),"")</f>
        <v>Centrale</v>
      </c>
      <c r="E218" s="30" t="str">
        <f>IF(C218&lt;&gt;"",VLOOKUP(C218,ENSEIGNES!$B$2:$D971,3,FALSE),"")</f>
        <v>CAP FRAIS</v>
      </c>
      <c r="F218" s="81">
        <v>515.04</v>
      </c>
      <c r="G218" s="32">
        <f t="shared" si="9"/>
        <v>543.3672</v>
      </c>
      <c r="H218" s="34">
        <f>IF(D218="Direct",PARAMETRES!$C$20,IF(D218="Centrale",PARAMETRES!$C$21,0))</f>
        <v>0.05</v>
      </c>
      <c r="I218" s="38">
        <f t="shared" si="2"/>
        <v>25.752</v>
      </c>
      <c r="J218" s="40">
        <f t="shared" si="3"/>
        <v>4</v>
      </c>
      <c r="K218" s="40">
        <f t="shared" si="4"/>
        <v>2026</v>
      </c>
      <c r="L218" s="30">
        <f t="shared" si="5"/>
        <v>0</v>
      </c>
    </row>
    <row r="219" ht="15.75" customHeight="1">
      <c r="A219" s="113">
        <v>46129.0</v>
      </c>
      <c r="B219" s="21" t="s">
        <v>399</v>
      </c>
      <c r="C219" s="43" t="s">
        <v>91</v>
      </c>
      <c r="D219" s="30" t="str">
        <f>IF(C219&lt;&gt;"",VLOOKUP(C219,ENSEIGNES!$B$2:$D971,2,FALSE),"")</f>
        <v>Centrale</v>
      </c>
      <c r="E219" s="30" t="str">
        <f>IF(C219&lt;&gt;"",VLOOKUP(C219,ENSEIGNES!$B$2:$D971,3,FALSE),"")</f>
        <v>CAP FRAIS</v>
      </c>
      <c r="F219" s="81">
        <v>394.4</v>
      </c>
      <c r="G219" s="32">
        <f t="shared" si="9"/>
        <v>416.092</v>
      </c>
      <c r="H219" s="34">
        <f>IF(D219="Direct",PARAMETRES!$C$20,IF(D219="Centrale",PARAMETRES!$C$21,0))</f>
        <v>0.05</v>
      </c>
      <c r="I219" s="38">
        <f t="shared" si="2"/>
        <v>19.72</v>
      </c>
      <c r="J219" s="40">
        <f t="shared" si="3"/>
        <v>4</v>
      </c>
      <c r="K219" s="40">
        <f t="shared" si="4"/>
        <v>2026</v>
      </c>
      <c r="L219" s="30">
        <f t="shared" si="5"/>
        <v>0</v>
      </c>
    </row>
    <row r="220" ht="15.75" customHeight="1">
      <c r="A220" s="113">
        <v>46129.0</v>
      </c>
      <c r="B220" s="21" t="s">
        <v>400</v>
      </c>
      <c r="C220" s="43" t="s">
        <v>91</v>
      </c>
      <c r="D220" s="30" t="str">
        <f>IF(C220&lt;&gt;"",VLOOKUP(C220,ENSEIGNES!$B$2:$D971,2,FALSE),"")</f>
        <v>Centrale</v>
      </c>
      <c r="E220" s="30" t="str">
        <f>IF(C220&lt;&gt;"",VLOOKUP(C220,ENSEIGNES!$B$2:$D971,3,FALSE),"")</f>
        <v>CAP FRAIS</v>
      </c>
      <c r="F220" s="81">
        <v>385.12</v>
      </c>
      <c r="G220" s="32">
        <f t="shared" si="9"/>
        <v>406.3016</v>
      </c>
      <c r="H220" s="34">
        <f>IF(D220="Direct",PARAMETRES!$C$20,IF(D220="Centrale",PARAMETRES!$C$21,0))</f>
        <v>0.05</v>
      </c>
      <c r="I220" s="38">
        <f t="shared" si="2"/>
        <v>19.256</v>
      </c>
      <c r="J220" s="40">
        <f t="shared" si="3"/>
        <v>4</v>
      </c>
      <c r="K220" s="40">
        <f t="shared" si="4"/>
        <v>2026</v>
      </c>
      <c r="L220" s="30">
        <f t="shared" si="5"/>
        <v>0</v>
      </c>
    </row>
    <row r="221" ht="15.75" customHeight="1">
      <c r="A221" s="113">
        <v>46130.0</v>
      </c>
      <c r="B221" s="21" t="s">
        <v>401</v>
      </c>
      <c r="C221" s="43" t="s">
        <v>91</v>
      </c>
      <c r="D221" s="30" t="str">
        <f>IF(C221&lt;&gt;"",VLOOKUP(C221,ENSEIGNES!$B$2:$D971,2,FALSE),"")</f>
        <v>Centrale</v>
      </c>
      <c r="E221" s="30" t="str">
        <f>IF(C221&lt;&gt;"",VLOOKUP(C221,ENSEIGNES!$B$2:$D971,3,FALSE),"")</f>
        <v>CAP FRAIS</v>
      </c>
      <c r="F221" s="81">
        <v>431.52</v>
      </c>
      <c r="G221" s="32">
        <f t="shared" si="9"/>
        <v>455.2536</v>
      </c>
      <c r="H221" s="34">
        <f>IF(D221="Direct",PARAMETRES!$C$20,IF(D221="Centrale",PARAMETRES!$C$21,0))</f>
        <v>0.05</v>
      </c>
      <c r="I221" s="38">
        <f t="shared" si="2"/>
        <v>21.576</v>
      </c>
      <c r="J221" s="40">
        <f t="shared" si="3"/>
        <v>4</v>
      </c>
      <c r="K221" s="40">
        <f t="shared" si="4"/>
        <v>2026</v>
      </c>
      <c r="L221" s="30">
        <f t="shared" si="5"/>
        <v>0</v>
      </c>
    </row>
    <row r="222" ht="15.75" customHeight="1">
      <c r="A222" s="113">
        <v>46132.0</v>
      </c>
      <c r="B222" s="21" t="s">
        <v>402</v>
      </c>
      <c r="C222" s="43" t="s">
        <v>91</v>
      </c>
      <c r="D222" s="30" t="str">
        <f>IF(C222&lt;&gt;"",VLOOKUP(C222,ENSEIGNES!$B$2:$D971,2,FALSE),"")</f>
        <v>Centrale</v>
      </c>
      <c r="E222" s="30" t="str">
        <f>IF(C222&lt;&gt;"",VLOOKUP(C222,ENSEIGNES!$B$2:$D971,3,FALSE),"")</f>
        <v>CAP FRAIS</v>
      </c>
      <c r="F222" s="81">
        <v>436.16</v>
      </c>
      <c r="G222" s="32">
        <f t="shared" si="9"/>
        <v>460.1488</v>
      </c>
      <c r="H222" s="34">
        <f>IF(D222="Direct",PARAMETRES!$C$20,IF(D222="Centrale",PARAMETRES!$C$21,0))</f>
        <v>0.05</v>
      </c>
      <c r="I222" s="38">
        <f t="shared" si="2"/>
        <v>21.808</v>
      </c>
      <c r="J222" s="40">
        <f t="shared" si="3"/>
        <v>4</v>
      </c>
      <c r="K222" s="40">
        <f t="shared" si="4"/>
        <v>2026</v>
      </c>
      <c r="L222" s="30">
        <f t="shared" si="5"/>
        <v>0</v>
      </c>
    </row>
    <row r="223" ht="15.75" customHeight="1">
      <c r="A223" s="113">
        <v>46133.0</v>
      </c>
      <c r="B223" s="21" t="s">
        <v>403</v>
      </c>
      <c r="C223" s="43" t="s">
        <v>91</v>
      </c>
      <c r="D223" s="30" t="str">
        <f>IF(C223&lt;&gt;"",VLOOKUP(C223,ENSEIGNES!$B$2:$D971,2,FALSE),"")</f>
        <v>Centrale</v>
      </c>
      <c r="E223" s="30" t="str">
        <f>IF(C223&lt;&gt;"",VLOOKUP(C223,ENSEIGNES!$B$2:$D971,3,FALSE),"")</f>
        <v>CAP FRAIS</v>
      </c>
      <c r="F223" s="81">
        <v>426.88</v>
      </c>
      <c r="G223" s="32">
        <f t="shared" si="9"/>
        <v>450.3584</v>
      </c>
      <c r="H223" s="34">
        <f>IF(D223="Direct",PARAMETRES!$C$20,IF(D223="Centrale",PARAMETRES!$C$21,0))</f>
        <v>0.05</v>
      </c>
      <c r="I223" s="38">
        <f t="shared" si="2"/>
        <v>21.344</v>
      </c>
      <c r="J223" s="40">
        <f t="shared" si="3"/>
        <v>4</v>
      </c>
      <c r="K223" s="40">
        <f t="shared" si="4"/>
        <v>2026</v>
      </c>
      <c r="L223" s="30">
        <f t="shared" si="5"/>
        <v>0</v>
      </c>
    </row>
    <row r="224" ht="15.75" customHeight="1">
      <c r="A224" s="113">
        <v>46136.0</v>
      </c>
      <c r="B224" s="21" t="s">
        <v>404</v>
      </c>
      <c r="C224" s="43" t="s">
        <v>91</v>
      </c>
      <c r="D224" s="30" t="str">
        <f>IF(C224&lt;&gt;"",VLOOKUP(C224,ENSEIGNES!$B$2:$D971,2,FALSE),"")</f>
        <v>Centrale</v>
      </c>
      <c r="E224" s="30" t="str">
        <f>IF(C224&lt;&gt;"",VLOOKUP(C224,ENSEIGNES!$B$2:$D971,3,FALSE),"")</f>
        <v>CAP FRAIS</v>
      </c>
      <c r="F224" s="81">
        <v>417.6</v>
      </c>
      <c r="G224" s="32">
        <f t="shared" si="9"/>
        <v>440.568</v>
      </c>
      <c r="H224" s="34">
        <f>IF(D224="Direct",PARAMETRES!$C$20,IF(D224="Centrale",PARAMETRES!$C$21,0))</f>
        <v>0.05</v>
      </c>
      <c r="I224" s="38">
        <f t="shared" si="2"/>
        <v>20.88</v>
      </c>
      <c r="J224" s="40">
        <f t="shared" si="3"/>
        <v>4</v>
      </c>
      <c r="K224" s="40">
        <f t="shared" si="4"/>
        <v>2026</v>
      </c>
      <c r="L224" s="30">
        <f t="shared" si="5"/>
        <v>0</v>
      </c>
    </row>
    <row r="225" ht="15.75" customHeight="1">
      <c r="A225" s="113">
        <v>46136.0</v>
      </c>
      <c r="B225" s="21" t="s">
        <v>405</v>
      </c>
      <c r="C225" s="43" t="s">
        <v>91</v>
      </c>
      <c r="D225" s="30" t="str">
        <f>IF(C225&lt;&gt;"",VLOOKUP(C225,ENSEIGNES!$B$2:$D971,2,FALSE),"")</f>
        <v>Centrale</v>
      </c>
      <c r="E225" s="30" t="str">
        <f>IF(C225&lt;&gt;"",VLOOKUP(C225,ENSEIGNES!$B$2:$D971,3,FALSE),"")</f>
        <v>CAP FRAIS</v>
      </c>
      <c r="F225" s="81">
        <v>403.68</v>
      </c>
      <c r="G225" s="32">
        <f t="shared" si="9"/>
        <v>425.8824</v>
      </c>
      <c r="H225" s="34">
        <f>IF(D225="Direct",PARAMETRES!$C$20,IF(D225="Centrale",PARAMETRES!$C$21,0))</f>
        <v>0.05</v>
      </c>
      <c r="I225" s="38">
        <f t="shared" si="2"/>
        <v>20.184</v>
      </c>
      <c r="J225" s="40">
        <f t="shared" si="3"/>
        <v>4</v>
      </c>
      <c r="K225" s="40">
        <f t="shared" si="4"/>
        <v>2026</v>
      </c>
      <c r="L225" s="30">
        <f t="shared" si="5"/>
        <v>0</v>
      </c>
    </row>
    <row r="226" ht="15.75" customHeight="1">
      <c r="A226" s="113">
        <v>46140.0</v>
      </c>
      <c r="B226" s="21" t="s">
        <v>406</v>
      </c>
      <c r="C226" s="43" t="s">
        <v>91</v>
      </c>
      <c r="D226" s="30" t="str">
        <f>IF(C226&lt;&gt;"",VLOOKUP(C226,ENSEIGNES!$B$2:$D971,2,FALSE),"")</f>
        <v>Centrale</v>
      </c>
      <c r="E226" s="30" t="str">
        <f>IF(C226&lt;&gt;"",VLOOKUP(C226,ENSEIGNES!$B$2:$D971,3,FALSE),"")</f>
        <v>CAP FRAIS</v>
      </c>
      <c r="F226" s="81">
        <v>431.52</v>
      </c>
      <c r="G226" s="32">
        <f t="shared" si="9"/>
        <v>455.2536</v>
      </c>
      <c r="H226" s="34">
        <f>IF(D226="Direct",PARAMETRES!$C$20,IF(D226="Centrale",PARAMETRES!$C$21,0))</f>
        <v>0.05</v>
      </c>
      <c r="I226" s="38">
        <f t="shared" si="2"/>
        <v>21.576</v>
      </c>
      <c r="J226" s="40">
        <f t="shared" si="3"/>
        <v>4</v>
      </c>
      <c r="K226" s="40">
        <f t="shared" si="4"/>
        <v>2026</v>
      </c>
      <c r="L226" s="30">
        <f t="shared" si="5"/>
        <v>0</v>
      </c>
    </row>
    <row r="227" ht="15.75" customHeight="1">
      <c r="A227" s="113">
        <v>46141.0</v>
      </c>
      <c r="B227" s="21" t="s">
        <v>407</v>
      </c>
      <c r="C227" s="43" t="s">
        <v>91</v>
      </c>
      <c r="D227" s="30" t="str">
        <f>IF(C227&lt;&gt;"",VLOOKUP(C227,ENSEIGNES!$B$2:$D971,2,FALSE),"")</f>
        <v>Centrale</v>
      </c>
      <c r="E227" s="30" t="str">
        <f>IF(C227&lt;&gt;"",VLOOKUP(C227,ENSEIGNES!$B$2:$D971,3,FALSE),"")</f>
        <v>CAP FRAIS</v>
      </c>
      <c r="F227" s="81">
        <v>412.96</v>
      </c>
      <c r="G227" s="32">
        <f t="shared" si="9"/>
        <v>435.6728</v>
      </c>
      <c r="H227" s="34">
        <f>IF(D227="Direct",PARAMETRES!$C$20,IF(D227="Centrale",PARAMETRES!$C$21,0))</f>
        <v>0.05</v>
      </c>
      <c r="I227" s="38">
        <f t="shared" si="2"/>
        <v>20.648</v>
      </c>
      <c r="J227" s="40">
        <f t="shared" si="3"/>
        <v>4</v>
      </c>
      <c r="K227" s="40">
        <f t="shared" si="4"/>
        <v>2026</v>
      </c>
      <c r="L227" s="30">
        <f t="shared" si="5"/>
        <v>0</v>
      </c>
    </row>
    <row r="228" ht="15.75" customHeight="1">
      <c r="A228" s="113">
        <v>46142.0</v>
      </c>
      <c r="B228" s="21" t="s">
        <v>408</v>
      </c>
      <c r="C228" s="43" t="s">
        <v>39</v>
      </c>
      <c r="D228" s="30" t="str">
        <f>IF(C228&lt;&gt;"",VLOOKUP(C228,ENSEIGNES!$B$2:$D971,2,FALSE),"")</f>
        <v>Direct</v>
      </c>
      <c r="E228" s="30" t="str">
        <f>IF(C228&lt;&gt;"",VLOOKUP(C228,ENSEIGNES!$B$2:$D971,3,FALSE),"")</f>
        <v>CAP FRAIS</v>
      </c>
      <c r="F228" s="81">
        <v>468.64</v>
      </c>
      <c r="G228" s="32">
        <f t="shared" si="9"/>
        <v>494.4152</v>
      </c>
      <c r="H228" s="34">
        <f>IF(D228="Direct",PARAMETRES!$C$20,IF(D228="Centrale",PARAMETRES!$C$21,0))</f>
        <v>0.07</v>
      </c>
      <c r="I228" s="38">
        <f t="shared" si="2"/>
        <v>32.8048</v>
      </c>
      <c r="J228" s="40">
        <f t="shared" si="3"/>
        <v>4</v>
      </c>
      <c r="K228" s="40">
        <f t="shared" si="4"/>
        <v>2026</v>
      </c>
      <c r="L228" s="30">
        <f t="shared" si="5"/>
        <v>1</v>
      </c>
    </row>
    <row r="229" ht="15.75" customHeight="1">
      <c r="A229" s="113">
        <v>46142.0</v>
      </c>
      <c r="B229" s="21" t="s">
        <v>409</v>
      </c>
      <c r="C229" s="43" t="s">
        <v>86</v>
      </c>
      <c r="D229" s="30" t="str">
        <f>IF(C229&lt;&gt;"",VLOOKUP(C229,ENSEIGNES!$B$2:$D971,2,FALSE),"")</f>
        <v>Direct</v>
      </c>
      <c r="E229" s="30" t="str">
        <f>IF(C229&lt;&gt;"",VLOOKUP(C229,ENSEIGNES!$B$2:$D971,3,FALSE),"")</f>
        <v>CAP FRAIS</v>
      </c>
      <c r="F229" s="81">
        <v>440.8</v>
      </c>
      <c r="G229" s="32">
        <f t="shared" si="9"/>
        <v>465.044</v>
      </c>
      <c r="H229" s="34">
        <f>IF(D229="Direct",PARAMETRES!$C$20,IF(D229="Centrale",PARAMETRES!$C$21,0))</f>
        <v>0.07</v>
      </c>
      <c r="I229" s="38">
        <f t="shared" si="2"/>
        <v>30.856</v>
      </c>
      <c r="J229" s="40">
        <f t="shared" si="3"/>
        <v>4</v>
      </c>
      <c r="K229" s="40">
        <f t="shared" si="4"/>
        <v>2026</v>
      </c>
      <c r="L229" s="30">
        <f t="shared" si="5"/>
        <v>0</v>
      </c>
    </row>
    <row r="230" ht="15.75" customHeight="1">
      <c r="A230" s="113">
        <v>46141.0</v>
      </c>
      <c r="B230" s="43" t="s">
        <v>410</v>
      </c>
      <c r="C230" s="43" t="s">
        <v>87</v>
      </c>
      <c r="D230" s="30" t="str">
        <f>IF(C230&lt;&gt;"",VLOOKUP(C230,ENSEIGNES!$B$2:$D971,2,FALSE),"")</f>
        <v>Direct</v>
      </c>
      <c r="E230" s="30" t="str">
        <f>IF(C230&lt;&gt;"",VLOOKUP(C230,ENSEIGNES!$B$2:$D971,3,FALSE),"")</f>
        <v>BROCARD</v>
      </c>
      <c r="F230" s="81">
        <v>431.52</v>
      </c>
      <c r="G230" s="32">
        <f t="shared" si="9"/>
        <v>455.2536</v>
      </c>
      <c r="H230" s="34">
        <f>IF(D230="Direct",PARAMETRES!$C$20,IF(D230="Centrale",PARAMETRES!$C$21,0))</f>
        <v>0.07</v>
      </c>
      <c r="I230" s="38">
        <f t="shared" si="2"/>
        <v>30.2064</v>
      </c>
      <c r="J230" s="40">
        <f t="shared" si="3"/>
        <v>4</v>
      </c>
      <c r="K230" s="40">
        <f t="shared" si="4"/>
        <v>2026</v>
      </c>
      <c r="L230" s="30">
        <f t="shared" si="5"/>
        <v>1</v>
      </c>
    </row>
    <row r="231" ht="15.75" customHeight="1">
      <c r="A231" s="113">
        <v>46127.0</v>
      </c>
      <c r="B231" s="43" t="s">
        <v>411</v>
      </c>
      <c r="C231" s="43" t="s">
        <v>77</v>
      </c>
      <c r="D231" s="30" t="str">
        <f>IF(C231&lt;&gt;"",VLOOKUP(C231,ENSEIGNES!$B$2:$D971,2,FALSE),"")</f>
        <v>Direct</v>
      </c>
      <c r="E231" s="30" t="str">
        <f>IF(C231&lt;&gt;"",VLOOKUP(C231,ENSEIGNES!$B$2:$D971,3,FALSE),"")</f>
        <v>BROCARD</v>
      </c>
      <c r="F231" s="81">
        <v>487.2</v>
      </c>
      <c r="G231" s="32">
        <f t="shared" si="9"/>
        <v>513.996</v>
      </c>
      <c r="H231" s="34">
        <f>IF(D231="Direct",PARAMETRES!$C$20,IF(D231="Centrale",PARAMETRES!$C$21,0))</f>
        <v>0.07</v>
      </c>
      <c r="I231" s="38">
        <f t="shared" si="2"/>
        <v>34.104</v>
      </c>
      <c r="J231" s="40">
        <f t="shared" si="3"/>
        <v>4</v>
      </c>
      <c r="K231" s="40">
        <f t="shared" si="4"/>
        <v>2026</v>
      </c>
      <c r="L231" s="30">
        <f t="shared" si="5"/>
        <v>1</v>
      </c>
    </row>
    <row r="232" ht="15.75" customHeight="1">
      <c r="A232" s="113">
        <v>46119.0</v>
      </c>
      <c r="B232" s="43" t="s">
        <v>412</v>
      </c>
      <c r="C232" s="43" t="s">
        <v>82</v>
      </c>
      <c r="D232" s="30" t="str">
        <f>IF(C232&lt;&gt;"",VLOOKUP(C232,ENSEIGNES!$B$2:$D971,2,FALSE),"")</f>
        <v>Direct</v>
      </c>
      <c r="E232" s="30" t="str">
        <f>IF(C232&lt;&gt;"",VLOOKUP(C232,ENSEIGNES!$B$2:$D971,3,FALSE),"")</f>
        <v>BROCARD</v>
      </c>
      <c r="F232" s="81">
        <v>487.2</v>
      </c>
      <c r="G232" s="32">
        <f t="shared" si="9"/>
        <v>513.996</v>
      </c>
      <c r="H232" s="34">
        <f>IF(D232="Direct",PARAMETRES!$C$20,IF(D232="Centrale",PARAMETRES!$C$21,0))</f>
        <v>0.07</v>
      </c>
      <c r="I232" s="38">
        <f t="shared" si="2"/>
        <v>34.104</v>
      </c>
      <c r="J232" s="40">
        <f t="shared" si="3"/>
        <v>4</v>
      </c>
      <c r="K232" s="40">
        <f t="shared" si="4"/>
        <v>2026</v>
      </c>
      <c r="L232" s="30">
        <f t="shared" si="5"/>
        <v>1</v>
      </c>
    </row>
    <row r="233" ht="15.75" customHeight="1">
      <c r="A233" s="113">
        <v>46115.0</v>
      </c>
      <c r="B233" s="43" t="s">
        <v>413</v>
      </c>
      <c r="C233" s="43" t="s">
        <v>88</v>
      </c>
      <c r="D233" s="30" t="str">
        <f>IF(C233&lt;&gt;"",VLOOKUP(C233,ENSEIGNES!$B$2:$D971,2,FALSE),"")</f>
        <v>Direct</v>
      </c>
      <c r="E233" s="30" t="str">
        <f>IF(C233&lt;&gt;"",VLOOKUP(C233,ENSEIGNES!$B$2:$D971,3,FALSE),"")</f>
        <v>BROCARD</v>
      </c>
      <c r="F233" s="81">
        <v>487.2</v>
      </c>
      <c r="G233" s="32">
        <f t="shared" si="9"/>
        <v>513.996</v>
      </c>
      <c r="H233" s="34">
        <f>IF(D233="Direct",PARAMETRES!$C$20,IF(D233="Centrale",PARAMETRES!$C$21,0))</f>
        <v>0.07</v>
      </c>
      <c r="I233" s="38">
        <f t="shared" si="2"/>
        <v>34.104</v>
      </c>
      <c r="J233" s="40">
        <f t="shared" si="3"/>
        <v>4</v>
      </c>
      <c r="K233" s="40">
        <f t="shared" si="4"/>
        <v>2026</v>
      </c>
      <c r="L233" s="30">
        <f t="shared" si="5"/>
        <v>1</v>
      </c>
    </row>
    <row r="234" ht="15.75" customHeight="1">
      <c r="A234" s="113">
        <v>46141.0</v>
      </c>
      <c r="B234" s="43" t="s">
        <v>414</v>
      </c>
      <c r="C234" s="43" t="s">
        <v>37</v>
      </c>
      <c r="D234" s="30" t="str">
        <f>IF(C234&lt;&gt;"",VLOOKUP(C234,ENSEIGNES!$B$2:$D971,2,FALSE),"")</f>
        <v>Centrale</v>
      </c>
      <c r="E234" s="30" t="str">
        <f>IF(C234&lt;&gt;"",VLOOKUP(C234,ENSEIGNES!$B$2:$D971,3,FALSE),"")</f>
        <v>CAP FRAIS</v>
      </c>
      <c r="F234" s="81">
        <v>585.9</v>
      </c>
      <c r="G234" s="32">
        <f t="shared" si="9"/>
        <v>618.1245</v>
      </c>
      <c r="H234" s="34">
        <f>IF(D234="Direct",PARAMETRES!$C$20,IF(D234="Centrale",PARAMETRES!$C$21,0))</f>
        <v>0.05</v>
      </c>
      <c r="I234" s="38">
        <f t="shared" si="2"/>
        <v>29.295</v>
      </c>
      <c r="J234" s="40">
        <f t="shared" si="3"/>
        <v>4</v>
      </c>
      <c r="K234" s="40">
        <f t="shared" si="4"/>
        <v>2026</v>
      </c>
      <c r="L234" s="30">
        <f t="shared" si="5"/>
        <v>1</v>
      </c>
    </row>
    <row r="235" ht="15.75" customHeight="1">
      <c r="A235" s="113">
        <v>46135.0</v>
      </c>
      <c r="B235" s="43" t="s">
        <v>415</v>
      </c>
      <c r="C235" s="43" t="s">
        <v>37</v>
      </c>
      <c r="D235" s="30" t="str">
        <f>IF(C235&lt;&gt;"",VLOOKUP(C235,ENSEIGNES!$B$2:$D971,2,FALSE),"")</f>
        <v>Centrale</v>
      </c>
      <c r="E235" s="30" t="str">
        <f>IF(C235&lt;&gt;"",VLOOKUP(C235,ENSEIGNES!$B$2:$D971,3,FALSE),"")</f>
        <v>CAP FRAIS</v>
      </c>
      <c r="F235" s="81">
        <v>460.96</v>
      </c>
      <c r="G235" s="32">
        <f t="shared" si="9"/>
        <v>486.3128</v>
      </c>
      <c r="H235" s="34">
        <f>IF(D235="Direct",PARAMETRES!$C$20,IF(D235="Centrale",PARAMETRES!$C$21,0))</f>
        <v>0.05</v>
      </c>
      <c r="I235" s="38">
        <f t="shared" si="2"/>
        <v>23.048</v>
      </c>
      <c r="J235" s="40">
        <f t="shared" si="3"/>
        <v>4</v>
      </c>
      <c r="K235" s="40">
        <f t="shared" si="4"/>
        <v>2026</v>
      </c>
      <c r="L235" s="30">
        <f t="shared" si="5"/>
        <v>0</v>
      </c>
    </row>
    <row r="236" ht="15.75" customHeight="1">
      <c r="A236" s="113">
        <v>46133.0</v>
      </c>
      <c r="B236" s="43" t="s">
        <v>416</v>
      </c>
      <c r="C236" s="43" t="s">
        <v>37</v>
      </c>
      <c r="D236" s="30" t="str">
        <f>IF(C236&lt;&gt;"",VLOOKUP(C236,ENSEIGNES!$B$2:$D971,2,FALSE),"")</f>
        <v>Centrale</v>
      </c>
      <c r="E236" s="30" t="str">
        <f>IF(C236&lt;&gt;"",VLOOKUP(C236,ENSEIGNES!$B$2:$D$47,3,FALSE),"")</f>
        <v>CAP FRAIS</v>
      </c>
      <c r="F236" s="81">
        <v>318.8</v>
      </c>
      <c r="G236" s="32">
        <f t="shared" si="9"/>
        <v>336.334</v>
      </c>
      <c r="H236" s="34">
        <f>IF(D236="Direct",PARAMETRES!$C$20,IF(D236="Centrale",PARAMETRES!$C$21,0))</f>
        <v>0.05</v>
      </c>
      <c r="I236" s="38">
        <f t="shared" si="2"/>
        <v>15.94</v>
      </c>
      <c r="J236" s="40">
        <f t="shared" si="3"/>
        <v>4</v>
      </c>
      <c r="K236" s="40">
        <f t="shared" si="4"/>
        <v>2026</v>
      </c>
      <c r="L236" s="30">
        <f t="shared" si="5"/>
        <v>0</v>
      </c>
    </row>
    <row r="237" ht="15.75" customHeight="1">
      <c r="A237" s="113">
        <v>46128.0</v>
      </c>
      <c r="B237" s="43" t="s">
        <v>417</v>
      </c>
      <c r="C237" s="43" t="s">
        <v>37</v>
      </c>
      <c r="D237" s="30" t="str">
        <f>IF(C237&lt;&gt;"",VLOOKUP(C237,ENSEIGNES!$B$2:$D971,2,FALSE),"")</f>
        <v>Centrale</v>
      </c>
      <c r="E237" s="30" t="str">
        <f>IF(C237&lt;&gt;"",VLOOKUP(C237,ENSEIGNES!$B$2:$D$47,3,FALSE),"")</f>
        <v>CAP FRAIS</v>
      </c>
      <c r="F237" s="81">
        <v>478.19</v>
      </c>
      <c r="G237" s="32">
        <f t="shared" si="9"/>
        <v>504.49045</v>
      </c>
      <c r="H237" s="34">
        <f>IF(D237="Direct",PARAMETRES!$C$20,IF(D237="Centrale",PARAMETRES!$C$21,0))</f>
        <v>0.05</v>
      </c>
      <c r="I237" s="38">
        <f t="shared" si="2"/>
        <v>23.9095</v>
      </c>
      <c r="J237" s="40">
        <f t="shared" si="3"/>
        <v>4</v>
      </c>
      <c r="K237" s="40">
        <f t="shared" si="4"/>
        <v>2026</v>
      </c>
      <c r="L237" s="30">
        <f t="shared" si="5"/>
        <v>0</v>
      </c>
    </row>
    <row r="238" ht="15.75" customHeight="1">
      <c r="A238" s="113">
        <v>46121.0</v>
      </c>
      <c r="B238" s="43" t="s">
        <v>418</v>
      </c>
      <c r="C238" s="43" t="s">
        <v>37</v>
      </c>
      <c r="D238" s="30" t="str">
        <f>IF(C238&lt;&gt;"",VLOOKUP(C238,ENSEIGNES!$B$2:$D971,2,FALSE),"")</f>
        <v>Centrale</v>
      </c>
      <c r="E238" s="30" t="str">
        <f>IF(C238&lt;&gt;"",VLOOKUP(C238,ENSEIGNES!$B$2:$D$47,3,FALSE),"")</f>
        <v>CAP FRAIS</v>
      </c>
      <c r="F238" s="81">
        <v>620.36</v>
      </c>
      <c r="G238" s="32">
        <f t="shared" si="9"/>
        <v>654.4798</v>
      </c>
      <c r="H238" s="34">
        <f>IF(D238="Direct",PARAMETRES!$C$20,IF(D238="Centrale",PARAMETRES!$C$21,0))</f>
        <v>0.05</v>
      </c>
      <c r="I238" s="38">
        <f t="shared" si="2"/>
        <v>31.018</v>
      </c>
      <c r="J238" s="40">
        <f t="shared" si="3"/>
        <v>4</v>
      </c>
      <c r="K238" s="40">
        <f t="shared" si="4"/>
        <v>2026</v>
      </c>
      <c r="L238" s="30">
        <f t="shared" si="5"/>
        <v>0</v>
      </c>
    </row>
    <row r="239" ht="15.75" customHeight="1">
      <c r="A239" s="113">
        <v>46120.0</v>
      </c>
      <c r="B239" s="43" t="s">
        <v>419</v>
      </c>
      <c r="C239" s="43" t="s">
        <v>37</v>
      </c>
      <c r="D239" s="30" t="str">
        <f>IF(C239&lt;&gt;"",VLOOKUP(C239,ENSEIGNES!$B$2:$D971,2,FALSE),"")</f>
        <v>Centrale</v>
      </c>
      <c r="E239" s="30" t="str">
        <f>IF(C239&lt;&gt;"",VLOOKUP(C239,ENSEIGNES!$B$2:$D$47,3,FALSE),"")</f>
        <v>CAP FRAIS</v>
      </c>
      <c r="F239" s="81">
        <v>1420.78</v>
      </c>
      <c r="G239" s="32">
        <f t="shared" si="9"/>
        <v>1498.9229</v>
      </c>
      <c r="H239" s="34">
        <f>IF(D239="Direct",PARAMETRES!$C$20,IF(D239="Centrale",PARAMETRES!$C$21,0))</f>
        <v>0.05</v>
      </c>
      <c r="I239" s="38">
        <f t="shared" si="2"/>
        <v>71.039</v>
      </c>
      <c r="J239" s="40">
        <f t="shared" si="3"/>
        <v>4</v>
      </c>
      <c r="K239" s="40">
        <f t="shared" si="4"/>
        <v>2026</v>
      </c>
      <c r="L239" s="30">
        <f t="shared" si="5"/>
        <v>0</v>
      </c>
    </row>
    <row r="240" ht="15.75" customHeight="1">
      <c r="A240" s="113">
        <v>46119.0</v>
      </c>
      <c r="B240" s="43" t="s">
        <v>420</v>
      </c>
      <c r="C240" s="43" t="s">
        <v>37</v>
      </c>
      <c r="D240" s="30" t="str">
        <f>IF(C240&lt;&gt;"",VLOOKUP(C240,ENSEIGNES!$B$2:$D971,2,FALSE),"")</f>
        <v>Centrale</v>
      </c>
      <c r="E240" s="30" t="str">
        <f>IF(C240&lt;&gt;"",VLOOKUP(C240,ENSEIGNES!$B$2:$D$47,3,FALSE),"")</f>
        <v>CAP FRAIS</v>
      </c>
      <c r="F240" s="81">
        <v>413.57</v>
      </c>
      <c r="G240" s="32">
        <f t="shared" si="9"/>
        <v>436.31635</v>
      </c>
      <c r="H240" s="34">
        <f>IF(D240="Direct",PARAMETRES!$C$20,IF(D240="Centrale",PARAMETRES!$C$21,0))</f>
        <v>0.05</v>
      </c>
      <c r="I240" s="38">
        <f t="shared" si="2"/>
        <v>20.6785</v>
      </c>
      <c r="J240" s="40">
        <f t="shared" si="3"/>
        <v>4</v>
      </c>
      <c r="K240" s="40">
        <f t="shared" si="4"/>
        <v>2026</v>
      </c>
      <c r="L240" s="30">
        <f t="shared" si="5"/>
        <v>0</v>
      </c>
    </row>
    <row r="241" ht="15.75" customHeight="1">
      <c r="A241" s="113">
        <v>46113.0</v>
      </c>
      <c r="B241" s="43" t="s">
        <v>421</v>
      </c>
      <c r="C241" s="43" t="s">
        <v>37</v>
      </c>
      <c r="D241" s="30" t="str">
        <f>IF(C241&lt;&gt;"",VLOOKUP(C241,ENSEIGNES!$B$2:$D971,2,FALSE),"")</f>
        <v>Centrale</v>
      </c>
      <c r="E241" s="30" t="str">
        <f>IF(C241&lt;&gt;"",VLOOKUP(C241,ENSEIGNES!$B$2:$D$47,3,FALSE),"")</f>
        <v>CAP FRAIS</v>
      </c>
      <c r="F241" s="81">
        <v>745.29</v>
      </c>
      <c r="G241" s="32">
        <f t="shared" si="9"/>
        <v>786.28095</v>
      </c>
      <c r="H241" s="34">
        <f>IF(D241="Direct",PARAMETRES!$C$20,IF(D241="Centrale",PARAMETRES!$C$21,0))</f>
        <v>0.05</v>
      </c>
      <c r="I241" s="38">
        <f t="shared" si="2"/>
        <v>37.2645</v>
      </c>
      <c r="J241" s="40">
        <f t="shared" si="3"/>
        <v>4</v>
      </c>
      <c r="K241" s="40">
        <f t="shared" si="4"/>
        <v>2026</v>
      </c>
      <c r="L241" s="30">
        <f t="shared" si="5"/>
        <v>0</v>
      </c>
    </row>
    <row r="242" ht="15.75" customHeight="1">
      <c r="A242" s="113">
        <v>46113.0</v>
      </c>
      <c r="B242" s="43" t="s">
        <v>422</v>
      </c>
      <c r="C242" s="43" t="s">
        <v>7</v>
      </c>
      <c r="D242" s="30" t="str">
        <f>IF(C242&lt;&gt;"",VLOOKUP(C242,ENSEIGNES!$B$2:$D971,2,FALSE),"")</f>
        <v>Centrale</v>
      </c>
      <c r="E242" s="30" t="str">
        <f>IF(C242&lt;&gt;"",VLOOKUP(C242,ENSEIGNES!$B$2:$D$47,3,FALSE),"")</f>
        <v>BROCARD</v>
      </c>
      <c r="F242" s="81">
        <v>430.81</v>
      </c>
      <c r="G242" s="32">
        <f t="shared" si="9"/>
        <v>454.50455</v>
      </c>
      <c r="H242" s="34">
        <f>IF(D242="Direct",PARAMETRES!$C$20,IF(D242="Centrale",PARAMETRES!$C$21,0))</f>
        <v>0.05</v>
      </c>
      <c r="I242" s="38">
        <f t="shared" si="2"/>
        <v>21.5405</v>
      </c>
      <c r="J242" s="40">
        <f t="shared" si="3"/>
        <v>4</v>
      </c>
      <c r="K242" s="40">
        <f t="shared" si="4"/>
        <v>2026</v>
      </c>
      <c r="L242" s="30">
        <f t="shared" si="5"/>
        <v>1</v>
      </c>
    </row>
    <row r="243" ht="15.75" customHeight="1">
      <c r="A243" s="113">
        <v>46113.0</v>
      </c>
      <c r="B243" s="43" t="s">
        <v>423</v>
      </c>
      <c r="C243" s="43" t="s">
        <v>7</v>
      </c>
      <c r="D243" s="30" t="str">
        <f>IF(C243&lt;&gt;"",VLOOKUP(C243,ENSEIGNES!$B$2:$D971,2,FALSE),"")</f>
        <v>Centrale</v>
      </c>
      <c r="E243" s="30" t="str">
        <f>IF(C243&lt;&gt;"",VLOOKUP(C243,ENSEIGNES!$B$2:$D$47,3,FALSE),"")</f>
        <v>BROCARD</v>
      </c>
      <c r="F243" s="81">
        <v>267.1</v>
      </c>
      <c r="G243" s="32">
        <f t="shared" si="9"/>
        <v>281.7905</v>
      </c>
      <c r="H243" s="34">
        <f>IF(D243="Direct",PARAMETRES!$C$20,IF(D243="Centrale",PARAMETRES!$C$21,0))</f>
        <v>0.05</v>
      </c>
      <c r="I243" s="38">
        <f t="shared" si="2"/>
        <v>13.355</v>
      </c>
      <c r="J243" s="40">
        <f t="shared" si="3"/>
        <v>4</v>
      </c>
      <c r="K243" s="40">
        <f t="shared" si="4"/>
        <v>2026</v>
      </c>
      <c r="L243" s="30">
        <f t="shared" si="5"/>
        <v>0</v>
      </c>
    </row>
    <row r="244" ht="15.75" customHeight="1">
      <c r="A244" s="113">
        <v>46113.0</v>
      </c>
      <c r="B244" s="43" t="s">
        <v>424</v>
      </c>
      <c r="C244" s="43" t="s">
        <v>7</v>
      </c>
      <c r="D244" s="30" t="str">
        <f>IF(C244&lt;&gt;"",VLOOKUP(C244,ENSEIGNES!$B$2:$D971,2,FALSE),"")</f>
        <v>Centrale</v>
      </c>
      <c r="E244" s="30" t="str">
        <f>IF(C244&lt;&gt;"",VLOOKUP(C244,ENSEIGNES!$B$2:$D$47,3,FALSE),"")</f>
        <v>BROCARD</v>
      </c>
      <c r="F244" s="81">
        <v>404.96</v>
      </c>
      <c r="G244" s="32">
        <f t="shared" si="9"/>
        <v>427.2328</v>
      </c>
      <c r="H244" s="34">
        <f>IF(D244="Direct",PARAMETRES!$C$20,IF(D244="Centrale",PARAMETRES!$C$21,0))</f>
        <v>0.05</v>
      </c>
      <c r="I244" s="38">
        <f t="shared" si="2"/>
        <v>20.248</v>
      </c>
      <c r="J244" s="40">
        <f t="shared" si="3"/>
        <v>4</v>
      </c>
      <c r="K244" s="40">
        <f t="shared" si="4"/>
        <v>2026</v>
      </c>
      <c r="L244" s="30">
        <f t="shared" si="5"/>
        <v>0</v>
      </c>
    </row>
    <row r="245" ht="15.75" customHeight="1">
      <c r="A245" s="113">
        <v>46115.0</v>
      </c>
      <c r="B245" s="43" t="s">
        <v>425</v>
      </c>
      <c r="C245" s="43" t="s">
        <v>7</v>
      </c>
      <c r="D245" s="30" t="str">
        <f>IF(C245&lt;&gt;"",VLOOKUP(C245,ENSEIGNES!$B$2:$D971,2,FALSE),"")</f>
        <v>Centrale</v>
      </c>
      <c r="E245" s="30" t="str">
        <f>IF(C245&lt;&gt;"",VLOOKUP(C245,ENSEIGNES!$B$2:$D$47,3,FALSE),"")</f>
        <v>BROCARD</v>
      </c>
      <c r="F245" s="81">
        <v>353.26</v>
      </c>
      <c r="G245" s="32">
        <f t="shared" si="9"/>
        <v>372.6893</v>
      </c>
      <c r="H245" s="34">
        <f>IF(D245="Direct",PARAMETRES!$C$20,IF(D245="Centrale",PARAMETRES!$C$21,0))</f>
        <v>0.05</v>
      </c>
      <c r="I245" s="38">
        <f t="shared" si="2"/>
        <v>17.663</v>
      </c>
      <c r="J245" s="40">
        <f t="shared" si="3"/>
        <v>4</v>
      </c>
      <c r="K245" s="40">
        <f t="shared" si="4"/>
        <v>2026</v>
      </c>
      <c r="L245" s="30">
        <f t="shared" si="5"/>
        <v>0</v>
      </c>
    </row>
    <row r="246" ht="15.75" customHeight="1">
      <c r="A246" s="113">
        <v>46116.0</v>
      </c>
      <c r="B246" s="43" t="s">
        <v>426</v>
      </c>
      <c r="C246" s="43" t="s">
        <v>7</v>
      </c>
      <c r="D246" s="30" t="str">
        <f>IF(C246&lt;&gt;"",VLOOKUP(C246,ENSEIGNES!$B$2:$D971,2,FALSE),"")</f>
        <v>Centrale</v>
      </c>
      <c r="E246" s="30" t="str">
        <f>IF(C246&lt;&gt;"",VLOOKUP(C246,ENSEIGNES!$B$2:$D$47,3,FALSE),"")</f>
        <v>BROCARD</v>
      </c>
      <c r="F246" s="81">
        <v>288.64</v>
      </c>
      <c r="G246" s="32">
        <f t="shared" si="9"/>
        <v>304.5152</v>
      </c>
      <c r="H246" s="34">
        <f>IF(D246="Direct",PARAMETRES!$C$20,IF(D246="Centrale",PARAMETRES!$C$21,0))</f>
        <v>0.05</v>
      </c>
      <c r="I246" s="38">
        <f t="shared" si="2"/>
        <v>14.432</v>
      </c>
      <c r="J246" s="40">
        <f t="shared" si="3"/>
        <v>4</v>
      </c>
      <c r="K246" s="40">
        <f t="shared" si="4"/>
        <v>2026</v>
      </c>
      <c r="L246" s="30">
        <f t="shared" si="5"/>
        <v>0</v>
      </c>
    </row>
    <row r="247" ht="15.75" customHeight="1">
      <c r="A247" s="113">
        <v>46116.0</v>
      </c>
      <c r="B247" s="43" t="s">
        <v>427</v>
      </c>
      <c r="C247" s="43" t="s">
        <v>7</v>
      </c>
      <c r="D247" s="30" t="str">
        <f>IF(C247&lt;&gt;"",VLOOKUP(C247,ENSEIGNES!$B$2:$D971,2,FALSE),"")</f>
        <v>Centrale</v>
      </c>
      <c r="E247" s="30" t="str">
        <f>IF(C247&lt;&gt;"",VLOOKUP(C247,ENSEIGNES!$B$2:$D$47,3,FALSE),"")</f>
        <v>BROCARD</v>
      </c>
      <c r="F247" s="81">
        <v>189.55</v>
      </c>
      <c r="G247" s="32">
        <f t="shared" si="9"/>
        <v>199.97525</v>
      </c>
      <c r="H247" s="34">
        <f>IF(D247="Direct",PARAMETRES!$C$20,IF(D247="Centrale",PARAMETRES!$C$21,0))</f>
        <v>0.05</v>
      </c>
      <c r="I247" s="38">
        <f t="shared" si="2"/>
        <v>9.4775</v>
      </c>
      <c r="J247" s="40">
        <f t="shared" si="3"/>
        <v>4</v>
      </c>
      <c r="K247" s="40">
        <f t="shared" si="4"/>
        <v>2026</v>
      </c>
      <c r="L247" s="30">
        <f t="shared" si="5"/>
        <v>0</v>
      </c>
    </row>
    <row r="248" ht="15.75" customHeight="1">
      <c r="A248" s="113">
        <v>46120.0</v>
      </c>
      <c r="B248" s="43" t="s">
        <v>428</v>
      </c>
      <c r="C248" s="43" t="s">
        <v>7</v>
      </c>
      <c r="D248" s="30" t="str">
        <f>IF(C248&lt;&gt;"",VLOOKUP(C248,ENSEIGNES!$B$2:$D971,2,FALSE),"")</f>
        <v>Centrale</v>
      </c>
      <c r="E248" s="30" t="str">
        <f>IF(C248&lt;&gt;"",VLOOKUP(C248,ENSEIGNES!$B$2:$D$47,3,FALSE),"")</f>
        <v>BROCARD</v>
      </c>
      <c r="F248" s="81">
        <v>353.26</v>
      </c>
      <c r="G248" s="32">
        <f t="shared" si="9"/>
        <v>372.6893</v>
      </c>
      <c r="H248" s="34">
        <f>IF(D248="Direct",PARAMETRES!$C$20,IF(D248="Centrale",PARAMETRES!$C$21,0))</f>
        <v>0.05</v>
      </c>
      <c r="I248" s="38">
        <f t="shared" si="2"/>
        <v>17.663</v>
      </c>
      <c r="J248" s="40">
        <f t="shared" si="3"/>
        <v>4</v>
      </c>
      <c r="K248" s="40">
        <f t="shared" si="4"/>
        <v>2026</v>
      </c>
      <c r="L248" s="30">
        <f t="shared" si="5"/>
        <v>0</v>
      </c>
    </row>
    <row r="249" ht="15.75" customHeight="1">
      <c r="A249" s="113">
        <v>46120.0</v>
      </c>
      <c r="B249" s="43" t="s">
        <v>429</v>
      </c>
      <c r="C249" s="43" t="s">
        <v>7</v>
      </c>
      <c r="D249" s="30" t="str">
        <f>IF(C249&lt;&gt;"",VLOOKUP(C249,ENSEIGNES!$B$2:$D971,2,FALSE),"")</f>
        <v>Centrale</v>
      </c>
      <c r="E249" s="30" t="str">
        <f>IF(C249&lt;&gt;"",VLOOKUP(C249,ENSEIGNES!$B$2:$D$47,3,FALSE),"")</f>
        <v>BROCARD</v>
      </c>
      <c r="F249" s="81">
        <v>280.02</v>
      </c>
      <c r="G249" s="32">
        <f t="shared" si="9"/>
        <v>295.4211</v>
      </c>
      <c r="H249" s="34">
        <f>IF(D249="Direct",PARAMETRES!$C$20,IF(D249="Centrale",PARAMETRES!$C$21,0))</f>
        <v>0.05</v>
      </c>
      <c r="I249" s="38">
        <f t="shared" si="2"/>
        <v>14.001</v>
      </c>
      <c r="J249" s="40">
        <f t="shared" si="3"/>
        <v>4</v>
      </c>
      <c r="K249" s="40">
        <f t="shared" si="4"/>
        <v>2026</v>
      </c>
      <c r="L249" s="30">
        <f t="shared" si="5"/>
        <v>0</v>
      </c>
    </row>
    <row r="250" ht="15.75" customHeight="1">
      <c r="A250" s="113">
        <v>46122.0</v>
      </c>
      <c r="B250" s="43" t="s">
        <v>430</v>
      </c>
      <c r="C250" s="43" t="s">
        <v>7</v>
      </c>
      <c r="D250" s="30" t="str">
        <f>IF(C250&lt;&gt;"",VLOOKUP(C250,ENSEIGNES!$B$2:$D971,2,FALSE),"")</f>
        <v>Centrale</v>
      </c>
      <c r="E250" s="30" t="str">
        <f>IF(C250&lt;&gt;"",VLOOKUP(C250,ENSEIGNES!$B$2:$D$47,3,FALSE),"")</f>
        <v>BROCARD</v>
      </c>
      <c r="F250" s="81">
        <v>387.73</v>
      </c>
      <c r="G250" s="32">
        <f t="shared" si="9"/>
        <v>409.05515</v>
      </c>
      <c r="H250" s="34">
        <f>IF(D250="Direct",PARAMETRES!$C$20,IF(D250="Centrale",PARAMETRES!$C$21,0))</f>
        <v>0.05</v>
      </c>
      <c r="I250" s="38">
        <f t="shared" si="2"/>
        <v>19.3865</v>
      </c>
      <c r="J250" s="40">
        <f t="shared" si="3"/>
        <v>4</v>
      </c>
      <c r="K250" s="40">
        <f t="shared" si="4"/>
        <v>2026</v>
      </c>
      <c r="L250" s="30">
        <f t="shared" si="5"/>
        <v>0</v>
      </c>
    </row>
    <row r="251" ht="15.75" customHeight="1">
      <c r="A251" s="113">
        <v>46122.0</v>
      </c>
      <c r="B251" s="43" t="s">
        <v>431</v>
      </c>
      <c r="C251" s="43" t="s">
        <v>7</v>
      </c>
      <c r="D251" s="30" t="str">
        <f>IF(C251&lt;&gt;"",VLOOKUP(C251,ENSEIGNES!$B$2:$D971,2,FALSE),"")</f>
        <v>Centrale</v>
      </c>
      <c r="E251" s="30" t="str">
        <f>IF(C251&lt;&gt;"",VLOOKUP(C251,ENSEIGNES!$B$2:$D$47,3,FALSE),"")</f>
        <v>BROCARD</v>
      </c>
      <c r="F251" s="81">
        <v>228.33</v>
      </c>
      <c r="G251" s="32">
        <f t="shared" si="9"/>
        <v>240.88815</v>
      </c>
      <c r="H251" s="34">
        <f>IF(D251="Direct",PARAMETRES!$C$20,IF(D251="Centrale",PARAMETRES!$C$21,0))</f>
        <v>0.05</v>
      </c>
      <c r="I251" s="38">
        <f t="shared" si="2"/>
        <v>11.4165</v>
      </c>
      <c r="J251" s="40">
        <f t="shared" si="3"/>
        <v>4</v>
      </c>
      <c r="K251" s="40">
        <f t="shared" si="4"/>
        <v>2026</v>
      </c>
      <c r="L251" s="30">
        <f t="shared" si="5"/>
        <v>0</v>
      </c>
    </row>
    <row r="252" ht="15.75" customHeight="1">
      <c r="A252" s="113">
        <v>46122.0</v>
      </c>
      <c r="B252" s="43" t="s">
        <v>432</v>
      </c>
      <c r="C252" s="43" t="s">
        <v>7</v>
      </c>
      <c r="D252" s="30" t="str">
        <f>IF(C252&lt;&gt;"",VLOOKUP(C252,ENSEIGNES!$B$2:$D971,2,FALSE),"")</f>
        <v>Centrale</v>
      </c>
      <c r="E252" s="30" t="str">
        <f>IF(C252&lt;&gt;"",VLOOKUP(C252,ENSEIGNES!$B$2:$D$47,3,FALSE),"")</f>
        <v>BROCARD</v>
      </c>
      <c r="F252" s="81">
        <v>258.48</v>
      </c>
      <c r="G252" s="32">
        <f t="shared" si="9"/>
        <v>272.6964</v>
      </c>
      <c r="H252" s="34">
        <f>IF(D252="Direct",PARAMETRES!$C$20,IF(D252="Centrale",PARAMETRES!$C$21,0))</f>
        <v>0.05</v>
      </c>
      <c r="I252" s="38">
        <f t="shared" si="2"/>
        <v>12.924</v>
      </c>
      <c r="J252" s="40">
        <f t="shared" si="3"/>
        <v>4</v>
      </c>
      <c r="K252" s="40">
        <f t="shared" si="4"/>
        <v>2026</v>
      </c>
      <c r="L252" s="30">
        <f t="shared" si="5"/>
        <v>0</v>
      </c>
    </row>
    <row r="253" ht="15.75" customHeight="1">
      <c r="A253" s="113">
        <v>46125.0</v>
      </c>
      <c r="B253" s="43" t="s">
        <v>433</v>
      </c>
      <c r="C253" s="43" t="s">
        <v>7</v>
      </c>
      <c r="D253" s="30" t="str">
        <f>IF(C253&lt;&gt;"",VLOOKUP(C253,ENSEIGNES!$B$2:$D971,2,FALSE),"")</f>
        <v>Centrale</v>
      </c>
      <c r="E253" s="30" t="str">
        <f>IF(C253&lt;&gt;"",VLOOKUP(C253,ENSEIGNES!$B$2:$D$47,3,FALSE),"")</f>
        <v>BROCARD</v>
      </c>
      <c r="F253" s="81">
        <v>211.09</v>
      </c>
      <c r="G253" s="32">
        <f t="shared" si="9"/>
        <v>222.69995</v>
      </c>
      <c r="H253" s="34">
        <f>IF(D253="Direct",PARAMETRES!$C$20,IF(D253="Centrale",PARAMETRES!$C$21,0))</f>
        <v>0.05</v>
      </c>
      <c r="I253" s="38">
        <f t="shared" si="2"/>
        <v>10.5545</v>
      </c>
      <c r="J253" s="40">
        <f t="shared" si="3"/>
        <v>4</v>
      </c>
      <c r="K253" s="40">
        <f t="shared" si="4"/>
        <v>2026</v>
      </c>
      <c r="L253" s="30">
        <f t="shared" si="5"/>
        <v>0</v>
      </c>
    </row>
    <row r="254" ht="15.75" customHeight="1">
      <c r="A254" s="113">
        <v>46125.0</v>
      </c>
      <c r="B254" s="43" t="s">
        <v>434</v>
      </c>
      <c r="C254" s="43" t="s">
        <v>7</v>
      </c>
      <c r="D254" s="30" t="str">
        <f>IF(C254&lt;&gt;"",VLOOKUP(C254,ENSEIGNES!$B$2:$D971,2,FALSE),"")</f>
        <v>Centrale</v>
      </c>
      <c r="E254" s="30" t="str">
        <f>IF(C254&lt;&gt;"",VLOOKUP(C254,ENSEIGNES!$B$2:$D$47,3,FALSE),"")</f>
        <v>BROCARD</v>
      </c>
      <c r="F254" s="81">
        <v>271.41</v>
      </c>
      <c r="G254" s="32">
        <f t="shared" si="9"/>
        <v>286.33755</v>
      </c>
      <c r="H254" s="34">
        <f>IF(D254="Direct",PARAMETRES!$C$20,IF(D254="Centrale",PARAMETRES!$C$21,0))</f>
        <v>0.05</v>
      </c>
      <c r="I254" s="38">
        <f t="shared" si="2"/>
        <v>13.5705</v>
      </c>
      <c r="J254" s="40">
        <f t="shared" si="3"/>
        <v>4</v>
      </c>
      <c r="K254" s="40">
        <f t="shared" si="4"/>
        <v>2026</v>
      </c>
      <c r="L254" s="30">
        <f t="shared" si="5"/>
        <v>0</v>
      </c>
    </row>
    <row r="255" ht="15.75" customHeight="1">
      <c r="A255" s="113">
        <v>46127.0</v>
      </c>
      <c r="B255" s="43" t="s">
        <v>435</v>
      </c>
      <c r="C255" s="43" t="s">
        <v>7</v>
      </c>
      <c r="D255" s="30" t="str">
        <f>IF(C255&lt;&gt;"",VLOOKUP(C255,ENSEIGNES!$B$2:$D971,2,FALSE),"")</f>
        <v>Centrale</v>
      </c>
      <c r="E255" s="30" t="str">
        <f>IF(C255&lt;&gt;"",VLOOKUP(C255,ENSEIGNES!$B$2:$D$47,3,FALSE),"")</f>
        <v>BROCARD</v>
      </c>
      <c r="F255" s="81">
        <v>417.88</v>
      </c>
      <c r="G255" s="32">
        <f t="shared" si="9"/>
        <v>440.8634</v>
      </c>
      <c r="H255" s="34">
        <f>IF(D255="Direct",PARAMETRES!$C$20,IF(D255="Centrale",PARAMETRES!$C$21,0))</f>
        <v>0.05</v>
      </c>
      <c r="I255" s="38">
        <f t="shared" si="2"/>
        <v>20.894</v>
      </c>
      <c r="J255" s="40">
        <f t="shared" si="3"/>
        <v>4</v>
      </c>
      <c r="K255" s="40">
        <f t="shared" si="4"/>
        <v>2026</v>
      </c>
      <c r="L255" s="30">
        <f t="shared" si="5"/>
        <v>0</v>
      </c>
    </row>
    <row r="256" ht="15.75" customHeight="1">
      <c r="A256" s="113">
        <v>46127.0</v>
      </c>
      <c r="B256" s="43" t="s">
        <v>436</v>
      </c>
      <c r="C256" s="43" t="s">
        <v>7</v>
      </c>
      <c r="D256" s="30" t="str">
        <f>IF(C256&lt;&gt;"",VLOOKUP(C256,ENSEIGNES!$B$2:$D971,2,FALSE),"")</f>
        <v>Centrale</v>
      </c>
      <c r="E256" s="30" t="str">
        <f>IF(C256&lt;&gt;"",VLOOKUP(C256,ENSEIGNES!$B$2:$D$47,3,FALSE),"")</f>
        <v>BROCARD</v>
      </c>
      <c r="F256" s="81">
        <v>267.1</v>
      </c>
      <c r="G256" s="32">
        <f t="shared" si="9"/>
        <v>281.7905</v>
      </c>
      <c r="H256" s="34">
        <f>IF(D256="Direct",PARAMETRES!$C$20,IF(D256="Centrale",PARAMETRES!$C$21,0))</f>
        <v>0.05</v>
      </c>
      <c r="I256" s="38">
        <f t="shared" si="2"/>
        <v>13.355</v>
      </c>
      <c r="J256" s="40">
        <f t="shared" si="3"/>
        <v>4</v>
      </c>
      <c r="K256" s="40">
        <f t="shared" si="4"/>
        <v>2026</v>
      </c>
      <c r="L256" s="30">
        <f t="shared" si="5"/>
        <v>0</v>
      </c>
    </row>
    <row r="257" ht="15.75" customHeight="1">
      <c r="A257" s="113">
        <v>46127.0</v>
      </c>
      <c r="B257" s="43" t="s">
        <v>437</v>
      </c>
      <c r="C257" s="43" t="s">
        <v>7</v>
      </c>
      <c r="D257" s="30" t="str">
        <f>IF(C257&lt;&gt;"",VLOOKUP(C257,ENSEIGNES!$B$2:$D971,2,FALSE),"")</f>
        <v>Centrale</v>
      </c>
      <c r="E257" s="30" t="str">
        <f>IF(C257&lt;&gt;"",VLOOKUP(C257,ENSEIGNES!$B$2:$D$47,3,FALSE),"")</f>
        <v>BROCARD</v>
      </c>
      <c r="F257" s="81">
        <v>193.86</v>
      </c>
      <c r="G257" s="32">
        <f t="shared" si="9"/>
        <v>204.5223</v>
      </c>
      <c r="H257" s="34">
        <f>IF(D257="Direct",PARAMETRES!$C$20,IF(D257="Centrale",PARAMETRES!$C$21,0))</f>
        <v>0.05</v>
      </c>
      <c r="I257" s="38">
        <f t="shared" si="2"/>
        <v>9.693</v>
      </c>
      <c r="J257" s="40">
        <f t="shared" si="3"/>
        <v>4</v>
      </c>
      <c r="K257" s="40">
        <f t="shared" si="4"/>
        <v>2026</v>
      </c>
      <c r="L257" s="30">
        <f t="shared" si="5"/>
        <v>0</v>
      </c>
    </row>
    <row r="258" ht="15.75" customHeight="1">
      <c r="A258" s="113">
        <v>46129.0</v>
      </c>
      <c r="B258" s="43" t="s">
        <v>438</v>
      </c>
      <c r="C258" s="43" t="s">
        <v>7</v>
      </c>
      <c r="D258" s="30" t="str">
        <f>IF(C258&lt;&gt;"",VLOOKUP(C258,ENSEIGNES!$B$2:$D971,2,FALSE),"")</f>
        <v>Centrale</v>
      </c>
      <c r="E258" s="30" t="str">
        <f>IF(C258&lt;&gt;"",VLOOKUP(C258,ENSEIGNES!$B$2:$D$47,3,FALSE),"")</f>
        <v>BROCARD</v>
      </c>
      <c r="F258" s="81">
        <v>607.44</v>
      </c>
      <c r="G258" s="32">
        <f t="shared" si="9"/>
        <v>640.8492</v>
      </c>
      <c r="H258" s="34">
        <f>IF(D258="Direct",PARAMETRES!$C$20,IF(D258="Centrale",PARAMETRES!$C$21,0))</f>
        <v>0.05</v>
      </c>
      <c r="I258" s="38">
        <f t="shared" si="2"/>
        <v>30.372</v>
      </c>
      <c r="J258" s="40">
        <f t="shared" si="3"/>
        <v>4</v>
      </c>
      <c r="K258" s="40">
        <f t="shared" si="4"/>
        <v>2026</v>
      </c>
      <c r="L258" s="30">
        <f t="shared" si="5"/>
        <v>0</v>
      </c>
    </row>
    <row r="259" ht="15.75" customHeight="1">
      <c r="A259" s="113">
        <v>46129.0</v>
      </c>
      <c r="B259" s="43" t="s">
        <v>439</v>
      </c>
      <c r="C259" s="43" t="s">
        <v>7</v>
      </c>
      <c r="D259" s="30" t="str">
        <f>IF(C259&lt;&gt;"",VLOOKUP(C259,ENSEIGNES!$B$2:$D971,2,FALSE),"")</f>
        <v>Centrale</v>
      </c>
      <c r="E259" s="30" t="str">
        <f>IF(C259&lt;&gt;"",VLOOKUP(C259,ENSEIGNES!$B$2:$D$47,3,FALSE),"")</f>
        <v>BROCARD</v>
      </c>
      <c r="F259" s="81">
        <v>249.87</v>
      </c>
      <c r="G259" s="32">
        <f t="shared" si="9"/>
        <v>263.61285</v>
      </c>
      <c r="H259" s="34">
        <f>IF(D259="Direct",PARAMETRES!$C$20,IF(D259="Centrale",PARAMETRES!$C$21,0))</f>
        <v>0.05</v>
      </c>
      <c r="I259" s="38">
        <f t="shared" si="2"/>
        <v>12.4935</v>
      </c>
      <c r="J259" s="40">
        <f t="shared" si="3"/>
        <v>4</v>
      </c>
      <c r="K259" s="40">
        <f t="shared" si="4"/>
        <v>2026</v>
      </c>
      <c r="L259" s="30">
        <f t="shared" si="5"/>
        <v>0</v>
      </c>
    </row>
    <row r="260" ht="15.75" customHeight="1">
      <c r="A260" s="113">
        <v>46134.0</v>
      </c>
      <c r="B260" s="43" t="s">
        <v>440</v>
      </c>
      <c r="C260" s="43" t="s">
        <v>7</v>
      </c>
      <c r="D260" s="30" t="str">
        <f>IF(C260&lt;&gt;"",VLOOKUP(C260,ENSEIGNES!$B$2:$D971,2,FALSE),"")</f>
        <v>Centrale</v>
      </c>
      <c r="E260" s="30" t="str">
        <f>IF(C260&lt;&gt;"",VLOOKUP(C260,ENSEIGNES!$B$2:$D$47,3,FALSE),"")</f>
        <v>BROCARD</v>
      </c>
      <c r="F260" s="81">
        <v>547.12</v>
      </c>
      <c r="G260" s="32">
        <f t="shared" si="9"/>
        <v>577.2116</v>
      </c>
      <c r="H260" s="34">
        <f>IF(D260="Direct",PARAMETRES!$C$20,IF(D260="Centrale",PARAMETRES!$C$21,0))</f>
        <v>0.05</v>
      </c>
      <c r="I260" s="38">
        <f t="shared" si="2"/>
        <v>27.356</v>
      </c>
      <c r="J260" s="40">
        <f t="shared" si="3"/>
        <v>4</v>
      </c>
      <c r="K260" s="40">
        <f t="shared" si="4"/>
        <v>2026</v>
      </c>
      <c r="L260" s="30">
        <f t="shared" si="5"/>
        <v>0</v>
      </c>
    </row>
    <row r="261" ht="15.75" customHeight="1">
      <c r="A261" s="113">
        <v>46134.0</v>
      </c>
      <c r="B261" s="43" t="s">
        <v>441</v>
      </c>
      <c r="C261" s="43" t="s">
        <v>7</v>
      </c>
      <c r="D261" s="30" t="str">
        <f>IF(C261&lt;&gt;"",VLOOKUP(C261,ENSEIGNES!$B$2:$D971,2,FALSE),"")</f>
        <v>Centrale</v>
      </c>
      <c r="E261" s="30" t="str">
        <f>IF(C261&lt;&gt;"",VLOOKUP(C261,ENSEIGNES!$B$2:$D$47,3,FALSE),"")</f>
        <v>BROCARD</v>
      </c>
      <c r="F261" s="81">
        <v>555.74</v>
      </c>
      <c r="G261" s="32">
        <f t="shared" si="9"/>
        <v>586.3057</v>
      </c>
      <c r="H261" s="34">
        <f>IF(D261="Direct",PARAMETRES!$C$20,IF(D261="Centrale",PARAMETRES!$C$21,0))</f>
        <v>0.05</v>
      </c>
      <c r="I261" s="38">
        <f t="shared" si="2"/>
        <v>27.787</v>
      </c>
      <c r="J261" s="40">
        <f t="shared" si="3"/>
        <v>4</v>
      </c>
      <c r="K261" s="40">
        <f t="shared" si="4"/>
        <v>2026</v>
      </c>
      <c r="L261" s="30">
        <f t="shared" si="5"/>
        <v>0</v>
      </c>
    </row>
    <row r="262" ht="15.75" customHeight="1">
      <c r="A262" s="113">
        <v>46134.0</v>
      </c>
      <c r="B262" s="43" t="s">
        <v>442</v>
      </c>
      <c r="C262" s="43" t="s">
        <v>7</v>
      </c>
      <c r="D262" s="30" t="str">
        <f>IF(C262&lt;&gt;"",VLOOKUP(C262,ENSEIGNES!$B$2:$D971,2,FALSE),"")</f>
        <v>Centrale</v>
      </c>
      <c r="E262" s="30" t="str">
        <f>IF(C262&lt;&gt;"",VLOOKUP(C262,ENSEIGNES!$B$2:$D$47,3,FALSE),"")</f>
        <v>BROCARD</v>
      </c>
      <c r="F262" s="81">
        <v>331.72</v>
      </c>
      <c r="G262" s="32">
        <f t="shared" si="9"/>
        <v>349.9646</v>
      </c>
      <c r="H262" s="34">
        <f>IF(D262="Direct",PARAMETRES!$C$20,IF(D262="Centrale",PARAMETRES!$C$21,0))</f>
        <v>0.05</v>
      </c>
      <c r="I262" s="38">
        <f t="shared" si="2"/>
        <v>16.586</v>
      </c>
      <c r="J262" s="40">
        <f t="shared" si="3"/>
        <v>4</v>
      </c>
      <c r="K262" s="40">
        <f t="shared" si="4"/>
        <v>2026</v>
      </c>
      <c r="L262" s="30">
        <f t="shared" si="5"/>
        <v>0</v>
      </c>
    </row>
    <row r="263" ht="15.75" customHeight="1">
      <c r="A263" s="113">
        <v>46136.0</v>
      </c>
      <c r="B263" s="43" t="s">
        <v>443</v>
      </c>
      <c r="C263" s="43" t="s">
        <v>7</v>
      </c>
      <c r="D263" s="30" t="str">
        <f>IF(C263&lt;&gt;"",VLOOKUP(C263,ENSEIGNES!$B$2:$D971,2,FALSE),"")</f>
        <v>Centrale</v>
      </c>
      <c r="E263" s="30" t="str">
        <f>IF(C263&lt;&gt;"",VLOOKUP(C263,ENSEIGNES!$B$2:$D$47,3,FALSE),"")</f>
        <v>BROCARD</v>
      </c>
      <c r="F263" s="81">
        <v>366.18</v>
      </c>
      <c r="G263" s="32">
        <f t="shared" si="9"/>
        <v>386.3199</v>
      </c>
      <c r="H263" s="34">
        <f>IF(D263="Direct",PARAMETRES!$C$20,IF(D263="Centrale",PARAMETRES!$C$21,0))</f>
        <v>0.05</v>
      </c>
      <c r="I263" s="38">
        <f t="shared" si="2"/>
        <v>18.309</v>
      </c>
      <c r="J263" s="40">
        <f t="shared" si="3"/>
        <v>4</v>
      </c>
      <c r="K263" s="40">
        <f t="shared" si="4"/>
        <v>2026</v>
      </c>
      <c r="L263" s="30">
        <f t="shared" si="5"/>
        <v>0</v>
      </c>
    </row>
    <row r="264" ht="15.75" customHeight="1">
      <c r="A264" s="113">
        <v>46136.0</v>
      </c>
      <c r="B264" s="43" t="s">
        <v>444</v>
      </c>
      <c r="C264" s="43" t="s">
        <v>7</v>
      </c>
      <c r="D264" s="30" t="str">
        <f>IF(C264&lt;&gt;"",VLOOKUP(C264,ENSEIGNES!$B$2:$D971,2,FALSE),"")</f>
        <v>Centrale</v>
      </c>
      <c r="E264" s="30" t="str">
        <f>IF(C264&lt;&gt;"",VLOOKUP(C264,ENSEIGNES!$B$2:$D$47,3,FALSE),"")</f>
        <v>BROCARD</v>
      </c>
      <c r="F264" s="81">
        <v>512.66</v>
      </c>
      <c r="G264" s="32">
        <f t="shared" si="9"/>
        <v>540.8563</v>
      </c>
      <c r="H264" s="34">
        <f>IF(D264="Direct",PARAMETRES!$C$20,IF(D264="Centrale",PARAMETRES!$C$21,0))</f>
        <v>0.05</v>
      </c>
      <c r="I264" s="38">
        <f t="shared" si="2"/>
        <v>25.633</v>
      </c>
      <c r="J264" s="40">
        <f t="shared" si="3"/>
        <v>4</v>
      </c>
      <c r="K264" s="40">
        <f t="shared" si="4"/>
        <v>2026</v>
      </c>
      <c r="L264" s="30">
        <f t="shared" si="5"/>
        <v>0</v>
      </c>
    </row>
    <row r="265" ht="15.75" customHeight="1">
      <c r="A265" s="113">
        <v>46139.0</v>
      </c>
      <c r="B265" s="43" t="s">
        <v>445</v>
      </c>
      <c r="C265" s="43" t="s">
        <v>7</v>
      </c>
      <c r="D265" s="30" t="str">
        <f>IF(C265&lt;&gt;"",VLOOKUP(C265,ENSEIGNES!$B$2:$D971,2,FALSE),"")</f>
        <v>Centrale</v>
      </c>
      <c r="E265" s="30" t="str">
        <f>IF(C265&lt;&gt;"",VLOOKUP(C265,ENSEIGNES!$B$2:$D$47,3,FALSE),"")</f>
        <v>BROCARD</v>
      </c>
      <c r="F265" s="81">
        <v>387.73</v>
      </c>
      <c r="G265" s="32">
        <f t="shared" si="9"/>
        <v>409.05515</v>
      </c>
      <c r="H265" s="34">
        <f>IF(D265="Direct",PARAMETRES!$C$20,IF(D265="Centrale",PARAMETRES!$C$21,0))</f>
        <v>0.05</v>
      </c>
      <c r="I265" s="38">
        <f t="shared" si="2"/>
        <v>19.3865</v>
      </c>
      <c r="J265" s="40">
        <f t="shared" si="3"/>
        <v>4</v>
      </c>
      <c r="K265" s="40">
        <f t="shared" si="4"/>
        <v>2026</v>
      </c>
      <c r="L265" s="30">
        <f t="shared" si="5"/>
        <v>0</v>
      </c>
    </row>
    <row r="266" ht="15.75" customHeight="1">
      <c r="A266" s="113">
        <v>46139.0</v>
      </c>
      <c r="B266" s="43" t="s">
        <v>446</v>
      </c>
      <c r="C266" s="43" t="s">
        <v>7</v>
      </c>
      <c r="D266" s="30" t="str">
        <f>IF(C266&lt;&gt;"",VLOOKUP(C266,ENSEIGNES!$B$2:$D971,2,FALSE),"")</f>
        <v>Centrale</v>
      </c>
      <c r="E266" s="30" t="str">
        <f>IF(C266&lt;&gt;"",VLOOKUP(C266,ENSEIGNES!$B$2:$D$47,3,FALSE),"")</f>
        <v>BROCARD</v>
      </c>
      <c r="F266" s="81">
        <v>189.55</v>
      </c>
      <c r="G266" s="32">
        <f t="shared" si="9"/>
        <v>199.97525</v>
      </c>
      <c r="H266" s="34">
        <f>IF(D266="Direct",PARAMETRES!$C$20,IF(D266="Centrale",PARAMETRES!$C$21,0))</f>
        <v>0.05</v>
      </c>
      <c r="I266" s="38">
        <f t="shared" si="2"/>
        <v>9.4775</v>
      </c>
      <c r="J266" s="40">
        <f t="shared" si="3"/>
        <v>4</v>
      </c>
      <c r="K266" s="40">
        <f t="shared" si="4"/>
        <v>2026</v>
      </c>
      <c r="L266" s="30">
        <f t="shared" si="5"/>
        <v>0</v>
      </c>
    </row>
    <row r="267" ht="15.75" customHeight="1">
      <c r="A267" s="113">
        <v>46142.0</v>
      </c>
      <c r="B267" s="43" t="s">
        <v>447</v>
      </c>
      <c r="C267" s="43" t="s">
        <v>7</v>
      </c>
      <c r="D267" s="30" t="str">
        <f>IF(C267&lt;&gt;"",VLOOKUP(C267,ENSEIGNES!$B$2:$D971,2,FALSE),"")</f>
        <v>Centrale</v>
      </c>
      <c r="E267" s="30" t="str">
        <f>IF(C267&lt;&gt;"",VLOOKUP(C267,ENSEIGNES!$B$2:$D$47,3,FALSE),"")</f>
        <v>BROCARD</v>
      </c>
      <c r="F267" s="81">
        <v>568.66</v>
      </c>
      <c r="G267" s="32">
        <f t="shared" si="9"/>
        <v>599.9363</v>
      </c>
      <c r="H267" s="34">
        <f>IF(D267="Direct",PARAMETRES!$C$20,IF(D267="Centrale",PARAMETRES!$C$21,0))</f>
        <v>0.05</v>
      </c>
      <c r="I267" s="38">
        <f t="shared" si="2"/>
        <v>28.433</v>
      </c>
      <c r="J267" s="40">
        <f t="shared" si="3"/>
        <v>4</v>
      </c>
      <c r="K267" s="40">
        <f t="shared" si="4"/>
        <v>2026</v>
      </c>
      <c r="L267" s="30">
        <f t="shared" si="5"/>
        <v>0</v>
      </c>
    </row>
    <row r="268" ht="15.75" customHeight="1">
      <c r="A268" s="113">
        <v>46142.0</v>
      </c>
      <c r="B268" s="43" t="s">
        <v>448</v>
      </c>
      <c r="C268" s="43" t="s">
        <v>7</v>
      </c>
      <c r="D268" s="30" t="str">
        <f>IF(C268&lt;&gt;"",VLOOKUP(C268,ENSEIGNES!$B$2:$D971,2,FALSE),"")</f>
        <v>Centrale</v>
      </c>
      <c r="E268" s="30" t="str">
        <f>IF(C268&lt;&gt;"",VLOOKUP(C268,ENSEIGNES!$B$2:$D$47,3,FALSE),"")</f>
        <v>BROCARD</v>
      </c>
      <c r="F268" s="81">
        <v>448.04</v>
      </c>
      <c r="G268" s="32">
        <f t="shared" si="9"/>
        <v>472.6822</v>
      </c>
      <c r="H268" s="34">
        <f>IF(D268="Direct",PARAMETRES!$C$20,IF(D268="Centrale",PARAMETRES!$C$21,0))</f>
        <v>0.05</v>
      </c>
      <c r="I268" s="38">
        <f t="shared" si="2"/>
        <v>22.402</v>
      </c>
      <c r="J268" s="40">
        <f t="shared" si="3"/>
        <v>4</v>
      </c>
      <c r="K268" s="40">
        <f t="shared" si="4"/>
        <v>2026</v>
      </c>
      <c r="L268" s="30">
        <f t="shared" si="5"/>
        <v>0</v>
      </c>
    </row>
    <row r="269" ht="15.75" customHeight="1">
      <c r="A269" s="113">
        <v>46142.0</v>
      </c>
      <c r="B269" s="43" t="s">
        <v>449</v>
      </c>
      <c r="C269" s="43" t="s">
        <v>7</v>
      </c>
      <c r="D269" s="30" t="str">
        <f>IF(C269&lt;&gt;"",VLOOKUP(C269,ENSEIGNES!$B$2:$D971,2,FALSE),"")</f>
        <v>Centrale</v>
      </c>
      <c r="E269" s="30" t="str">
        <f>IF(C269&lt;&gt;"",VLOOKUP(C269,ENSEIGNES!$B$2:$D971,3,FALSE),"")</f>
        <v>BROCARD</v>
      </c>
      <c r="F269" s="81">
        <v>168.01</v>
      </c>
      <c r="G269" s="32">
        <f t="shared" si="9"/>
        <v>177.25055</v>
      </c>
      <c r="H269" s="34">
        <f>IF(D269="Direct",PARAMETRES!$C$20,IF(D269="Centrale",PARAMETRES!$C$21,0))</f>
        <v>0.05</v>
      </c>
      <c r="I269" s="38">
        <f t="shared" si="2"/>
        <v>8.4005</v>
      </c>
      <c r="J269" s="40">
        <f t="shared" si="3"/>
        <v>4</v>
      </c>
      <c r="K269" s="40">
        <f t="shared" si="4"/>
        <v>2026</v>
      </c>
      <c r="L269" s="30">
        <f t="shared" si="5"/>
        <v>0</v>
      </c>
    </row>
    <row r="270" ht="15.75" customHeight="1">
      <c r="A270" s="113">
        <v>46140.0</v>
      </c>
      <c r="B270" s="43" t="s">
        <v>450</v>
      </c>
      <c r="C270" s="43" t="s">
        <v>80</v>
      </c>
      <c r="D270" s="30" t="str">
        <f>IF(C270&lt;&gt;"",VLOOKUP(C270,ENSEIGNES!$B$2:$D971,2,FALSE),"")</f>
        <v>Direct</v>
      </c>
      <c r="E270" s="30" t="str">
        <f>IF(C270&lt;&gt;"",VLOOKUP(C270,ENSEIGNES!$B$2:$D971,3,FALSE),"")</f>
        <v>SCHLESSER</v>
      </c>
      <c r="F270" s="81">
        <v>1763.2</v>
      </c>
      <c r="G270" s="32"/>
      <c r="H270" s="34">
        <f>IF(D270="Direct",PARAMETRES!$C$20,IF(D270="Centrale",PARAMETRES!$C$21,0))</f>
        <v>0.07</v>
      </c>
      <c r="I270" s="38">
        <f t="shared" si="2"/>
        <v>123.424</v>
      </c>
      <c r="J270" s="40">
        <f t="shared" si="3"/>
        <v>4</v>
      </c>
      <c r="K270" s="40">
        <f t="shared" si="4"/>
        <v>2026</v>
      </c>
      <c r="L270" s="30">
        <f t="shared" si="5"/>
        <v>1</v>
      </c>
    </row>
    <row r="271" ht="15.75" customHeight="1">
      <c r="A271" s="113">
        <v>46141.0</v>
      </c>
      <c r="B271" s="43" t="s">
        <v>451</v>
      </c>
      <c r="C271" s="43" t="s">
        <v>62</v>
      </c>
      <c r="D271" s="30" t="str">
        <f>IF(C271&lt;&gt;"",VLOOKUP(C271,ENSEIGNES!$B$2:$D971,2,FALSE),"")</f>
        <v>Centrale</v>
      </c>
      <c r="E271" s="30" t="str">
        <f>IF(C271&lt;&gt;"",VLOOKUP(C271,ENSEIGNES!$B$2:$D971,3,FALSE),"")</f>
        <v>GMA GROUP</v>
      </c>
      <c r="F271" s="81">
        <v>1425.6</v>
      </c>
      <c r="G271" s="32"/>
      <c r="H271" s="34">
        <f>IF(D271="Direct",PARAMETRES!$C$20,IF(D271="Centrale",PARAMETRES!$C$21,0))</f>
        <v>0.05</v>
      </c>
      <c r="I271" s="38">
        <f t="shared" si="2"/>
        <v>71.28</v>
      </c>
      <c r="J271" s="40">
        <f t="shared" si="3"/>
        <v>4</v>
      </c>
      <c r="K271" s="40">
        <f t="shared" si="4"/>
        <v>2026</v>
      </c>
      <c r="L271" s="30">
        <f t="shared" si="5"/>
        <v>1</v>
      </c>
    </row>
    <row r="272" ht="15.75" customHeight="1">
      <c r="A272" s="113">
        <v>46139.0</v>
      </c>
      <c r="B272" s="43" t="s">
        <v>452</v>
      </c>
      <c r="C272" s="43" t="s">
        <v>62</v>
      </c>
      <c r="D272" s="30" t="str">
        <f>IF(C272&lt;&gt;"",VLOOKUP(C272,ENSEIGNES!$B$2:$D971,2,FALSE),"")</f>
        <v>Centrale</v>
      </c>
      <c r="E272" s="30" t="str">
        <f>IF(C272&lt;&gt;"",VLOOKUP(C272,ENSEIGNES!$B$2:$D971,3,FALSE),"")</f>
        <v>GMA GROUP</v>
      </c>
      <c r="F272" s="81">
        <v>1169.6</v>
      </c>
      <c r="G272" s="32"/>
      <c r="H272" s="34">
        <f>IF(D272="Direct",PARAMETRES!$C$20,IF(D272="Centrale",PARAMETRES!$C$21,0))</f>
        <v>0.05</v>
      </c>
      <c r="I272" s="38">
        <f t="shared" si="2"/>
        <v>58.48</v>
      </c>
      <c r="J272" s="40">
        <f t="shared" si="3"/>
        <v>4</v>
      </c>
      <c r="K272" s="40">
        <f t="shared" si="4"/>
        <v>2026</v>
      </c>
      <c r="L272" s="30">
        <f t="shared" si="5"/>
        <v>0</v>
      </c>
    </row>
    <row r="273" ht="15.75" customHeight="1">
      <c r="A273" s="113">
        <v>46132.0</v>
      </c>
      <c r="B273" s="43" t="s">
        <v>453</v>
      </c>
      <c r="C273" s="43" t="s">
        <v>62</v>
      </c>
      <c r="D273" s="30" t="str">
        <f>IF(C273&lt;&gt;"",VLOOKUP(C273,ENSEIGNES!$B$2:$D971,2,FALSE),"")</f>
        <v>Centrale</v>
      </c>
      <c r="E273" s="30" t="str">
        <f>IF(C273&lt;&gt;"",VLOOKUP(C273,ENSEIGNES!$B$2:$D971,3,FALSE),"")</f>
        <v>GMA GROUP</v>
      </c>
      <c r="F273" s="81">
        <v>1425.6</v>
      </c>
      <c r="G273" s="32"/>
      <c r="H273" s="34">
        <f>IF(D273="Direct",PARAMETRES!$C$20,IF(D273="Centrale",PARAMETRES!$C$21,0))</f>
        <v>0.05</v>
      </c>
      <c r="I273" s="38">
        <f t="shared" si="2"/>
        <v>71.28</v>
      </c>
      <c r="J273" s="40">
        <f t="shared" si="3"/>
        <v>4</v>
      </c>
      <c r="K273" s="40">
        <f t="shared" si="4"/>
        <v>2026</v>
      </c>
      <c r="L273" s="30">
        <f t="shared" si="5"/>
        <v>0</v>
      </c>
    </row>
    <row r="274" ht="15.75" customHeight="1">
      <c r="A274" s="113">
        <v>46127.0</v>
      </c>
      <c r="B274" s="43" t="s">
        <v>454</v>
      </c>
      <c r="C274" s="43" t="s">
        <v>62</v>
      </c>
      <c r="D274" s="30" t="str">
        <f>IF(C274&lt;&gt;"",VLOOKUP(C274,ENSEIGNES!$B$2:$D971,2,FALSE),"")</f>
        <v>Centrale</v>
      </c>
      <c r="E274" s="30" t="str">
        <f>IF(C274&lt;&gt;"",VLOOKUP(C274,ENSEIGNES!$B$2:$D971,3,FALSE),"")</f>
        <v>GMA GROUP</v>
      </c>
      <c r="F274" s="81">
        <v>1425.6</v>
      </c>
      <c r="G274" s="32"/>
      <c r="H274" s="34">
        <f>IF(D274="Direct",PARAMETRES!$C$20,IF(D274="Centrale",PARAMETRES!$C$21,0))</f>
        <v>0.05</v>
      </c>
      <c r="I274" s="38">
        <f t="shared" si="2"/>
        <v>71.28</v>
      </c>
      <c r="J274" s="40">
        <f t="shared" si="3"/>
        <v>4</v>
      </c>
      <c r="K274" s="40">
        <f t="shared" si="4"/>
        <v>2026</v>
      </c>
      <c r="L274" s="30">
        <f t="shared" si="5"/>
        <v>0</v>
      </c>
    </row>
    <row r="275" ht="15.75" customHeight="1">
      <c r="A275" s="113">
        <v>46125.0</v>
      </c>
      <c r="B275" s="43" t="s">
        <v>455</v>
      </c>
      <c r="C275" s="43" t="s">
        <v>62</v>
      </c>
      <c r="D275" s="30" t="str">
        <f>IF(C275&lt;&gt;"",VLOOKUP(C275,ENSEIGNES!$B$2:$D971,2,FALSE),"")</f>
        <v>Centrale</v>
      </c>
      <c r="E275" s="30" t="str">
        <f>IF(C275&lt;&gt;"",VLOOKUP(C275,ENSEIGNES!$B$2:$D971,3,FALSE),"")</f>
        <v>GMA GROUP</v>
      </c>
      <c r="F275" s="81">
        <v>1169.6</v>
      </c>
      <c r="G275" s="32"/>
      <c r="H275" s="34">
        <f>IF(D275="Direct",PARAMETRES!$C$20,IF(D275="Centrale",PARAMETRES!$C$21,0))</f>
        <v>0.05</v>
      </c>
      <c r="I275" s="38">
        <f t="shared" si="2"/>
        <v>58.48</v>
      </c>
      <c r="J275" s="40">
        <f t="shared" si="3"/>
        <v>4</v>
      </c>
      <c r="K275" s="40">
        <f t="shared" si="4"/>
        <v>2026</v>
      </c>
      <c r="L275" s="30">
        <f t="shared" si="5"/>
        <v>0</v>
      </c>
    </row>
    <row r="276" ht="15.75" customHeight="1">
      <c r="A276" s="113">
        <v>46119.0</v>
      </c>
      <c r="B276" s="43" t="s">
        <v>456</v>
      </c>
      <c r="C276" s="43" t="s">
        <v>62</v>
      </c>
      <c r="D276" s="30" t="str">
        <f>IF(C276&lt;&gt;"",VLOOKUP(C276,ENSEIGNES!$B$2:$D971,2,FALSE),"")</f>
        <v>Centrale</v>
      </c>
      <c r="E276" s="30" t="str">
        <f>IF(C276&lt;&gt;"",VLOOKUP(C276,ENSEIGNES!$B$2:$D971,3,FALSE),"")</f>
        <v>GMA GROUP</v>
      </c>
      <c r="F276" s="81">
        <v>1425.6</v>
      </c>
      <c r="G276" s="32"/>
      <c r="H276" s="34">
        <f>IF(D276="Direct",PARAMETRES!$C$20,IF(D276="Centrale",PARAMETRES!$C$21,0))</f>
        <v>0.05</v>
      </c>
      <c r="I276" s="38">
        <f t="shared" si="2"/>
        <v>71.28</v>
      </c>
      <c r="J276" s="40">
        <f t="shared" si="3"/>
        <v>4</v>
      </c>
      <c r="K276" s="40">
        <f t="shared" si="4"/>
        <v>2026</v>
      </c>
      <c r="L276" s="30">
        <f t="shared" si="5"/>
        <v>0</v>
      </c>
    </row>
    <row r="277" ht="15.75" customHeight="1">
      <c r="A277" s="113">
        <v>46146.0</v>
      </c>
      <c r="B277" s="43" t="s">
        <v>457</v>
      </c>
      <c r="C277" s="43" t="s">
        <v>90</v>
      </c>
      <c r="D277" s="30" t="str">
        <f>IF(C277&lt;&gt;"",VLOOKUP(C277,ENSEIGNES!$B$2:$D971,2,FALSE),"")</f>
        <v>Direct</v>
      </c>
      <c r="E277" s="30" t="str">
        <f>IF(C277&lt;&gt;"",VLOOKUP(C277,ENSEIGNES!$B$2:$D971,3,FALSE),"")</f>
        <v>CAP FRAIS</v>
      </c>
      <c r="F277" s="81">
        <v>440.8</v>
      </c>
      <c r="G277" s="32">
        <f t="shared" ref="G277:G306" si="10">F277*(1+5.5%)</f>
        <v>465.044</v>
      </c>
      <c r="H277" s="34">
        <f>IF(D277="Direct",PARAMETRES!$C$20,IF(D277="Centrale",PARAMETRES!$C$21,0))</f>
        <v>0.07</v>
      </c>
      <c r="I277" s="38">
        <f t="shared" si="2"/>
        <v>30.856</v>
      </c>
      <c r="J277" s="40">
        <f t="shared" si="3"/>
        <v>5</v>
      </c>
      <c r="K277" s="40">
        <f t="shared" si="4"/>
        <v>2026</v>
      </c>
      <c r="L277" s="30">
        <f t="shared" si="5"/>
        <v>1</v>
      </c>
    </row>
    <row r="278" ht="15.75" customHeight="1">
      <c r="A278" s="113">
        <v>46146.0</v>
      </c>
      <c r="B278" s="43" t="s">
        <v>458</v>
      </c>
      <c r="C278" s="43" t="s">
        <v>91</v>
      </c>
      <c r="D278" s="30" t="str">
        <f>IF(C278&lt;&gt;"",VLOOKUP(C278,ENSEIGNES!$B$2:$D971,2,FALSE),"")</f>
        <v>Centrale</v>
      </c>
      <c r="E278" s="30" t="str">
        <f>IF(C278&lt;&gt;"",VLOOKUP(C278,ENSEIGNES!$B$2:$D971,3,FALSE),"")</f>
        <v>CAP FRAIS</v>
      </c>
      <c r="F278" s="81">
        <v>412.96</v>
      </c>
      <c r="G278" s="32">
        <f t="shared" si="10"/>
        <v>435.6728</v>
      </c>
      <c r="H278" s="34">
        <f>IF(D278="Direct",PARAMETRES!$C$20,IF(D278="Centrale",PARAMETRES!$C$21,0))</f>
        <v>0.05</v>
      </c>
      <c r="I278" s="38">
        <f t="shared" si="2"/>
        <v>20.648</v>
      </c>
      <c r="J278" s="40">
        <f t="shared" si="3"/>
        <v>5</v>
      </c>
      <c r="K278" s="40">
        <f t="shared" si="4"/>
        <v>2026</v>
      </c>
      <c r="L278" s="30">
        <f t="shared" si="5"/>
        <v>1</v>
      </c>
    </row>
    <row r="279" ht="15.75" customHeight="1">
      <c r="A279" s="113">
        <v>46148.0</v>
      </c>
      <c r="B279" s="43" t="s">
        <v>459</v>
      </c>
      <c r="C279" s="43" t="s">
        <v>91</v>
      </c>
      <c r="D279" s="30" t="str">
        <f>IF(C279&lt;&gt;"",VLOOKUP(C279,ENSEIGNES!$B$2:$D971,2,FALSE),"")</f>
        <v>Centrale</v>
      </c>
      <c r="E279" s="30" t="str">
        <f>IF(C279&lt;&gt;"",VLOOKUP(C279,ENSEIGNES!$B$2:$D971,3,FALSE),"")</f>
        <v>CAP FRAIS</v>
      </c>
      <c r="F279" s="81">
        <v>459.36</v>
      </c>
      <c r="G279" s="32">
        <f t="shared" si="10"/>
        <v>484.6248</v>
      </c>
      <c r="H279" s="34">
        <f>IF(D279="Direct",PARAMETRES!$C$20,IF(D279="Centrale",PARAMETRES!$C$21,0))</f>
        <v>0.05</v>
      </c>
      <c r="I279" s="38">
        <f t="shared" si="2"/>
        <v>22.968</v>
      </c>
      <c r="J279" s="40">
        <f t="shared" si="3"/>
        <v>5</v>
      </c>
      <c r="K279" s="40">
        <f t="shared" si="4"/>
        <v>2026</v>
      </c>
      <c r="L279" s="30">
        <f t="shared" si="5"/>
        <v>0</v>
      </c>
    </row>
    <row r="280" ht="15.75" customHeight="1">
      <c r="A280" s="113">
        <v>46148.0</v>
      </c>
      <c r="B280" s="43" t="s">
        <v>460</v>
      </c>
      <c r="C280" s="43" t="s">
        <v>91</v>
      </c>
      <c r="D280" s="30" t="str">
        <f>IF(C280&lt;&gt;"",VLOOKUP(C280,ENSEIGNES!$B$2:$D971,2,FALSE),"")</f>
        <v>Centrale</v>
      </c>
      <c r="E280" s="30" t="str">
        <f>IF(C280&lt;&gt;"",VLOOKUP(C280,ENSEIGNES!$B$2:$D971,3,FALSE),"")</f>
        <v>CAP FRAIS</v>
      </c>
      <c r="F280" s="81">
        <v>412.96</v>
      </c>
      <c r="G280" s="32">
        <f t="shared" si="10"/>
        <v>435.6728</v>
      </c>
      <c r="H280" s="34">
        <f>IF(D280="Direct",PARAMETRES!$C$20,IF(D280="Centrale",PARAMETRES!$C$21,0))</f>
        <v>0.05</v>
      </c>
      <c r="I280" s="38">
        <f t="shared" si="2"/>
        <v>20.648</v>
      </c>
      <c r="J280" s="40">
        <f t="shared" si="3"/>
        <v>5</v>
      </c>
      <c r="K280" s="40">
        <f t="shared" si="4"/>
        <v>2026</v>
      </c>
      <c r="L280" s="30">
        <f t="shared" si="5"/>
        <v>0</v>
      </c>
    </row>
    <row r="281" ht="15.75" customHeight="1">
      <c r="A281" s="113">
        <v>46148.0</v>
      </c>
      <c r="B281" s="43" t="s">
        <v>461</v>
      </c>
      <c r="C281" s="43" t="s">
        <v>92</v>
      </c>
      <c r="D281" s="30" t="str">
        <f>IF(C281&lt;&gt;"",VLOOKUP(C281,ENSEIGNES!$B$2:$D971,2,FALSE),"")</f>
        <v>Centrale</v>
      </c>
      <c r="E281" s="30" t="str">
        <f>IF(C281&lt;&gt;"",VLOOKUP(C281,ENSEIGNES!$B$2:$D971,3,FALSE),"")</f>
        <v>CAP FRAIS</v>
      </c>
      <c r="F281" s="81">
        <v>496.48</v>
      </c>
      <c r="G281" s="32">
        <f t="shared" si="10"/>
        <v>523.7864</v>
      </c>
      <c r="H281" s="34">
        <f>IF(D281="Direct",PARAMETRES!$C$20,IF(D281="Centrale",PARAMETRES!$C$21,0))</f>
        <v>0.05</v>
      </c>
      <c r="I281" s="38">
        <f t="shared" si="2"/>
        <v>24.824</v>
      </c>
      <c r="J281" s="40">
        <f t="shared" si="3"/>
        <v>5</v>
      </c>
      <c r="K281" s="40">
        <f t="shared" si="4"/>
        <v>2026</v>
      </c>
      <c r="L281" s="30">
        <f t="shared" si="5"/>
        <v>1</v>
      </c>
    </row>
    <row r="282" ht="15.75" customHeight="1">
      <c r="A282" s="113">
        <v>46153.0</v>
      </c>
      <c r="B282" s="43" t="s">
        <v>462</v>
      </c>
      <c r="C282" s="43" t="s">
        <v>91</v>
      </c>
      <c r="D282" s="30" t="str">
        <f>IF(C282&lt;&gt;"",VLOOKUP(C282,ENSEIGNES!$B$2:$D971,2,FALSE),"")</f>
        <v>Centrale</v>
      </c>
      <c r="E282" s="30" t="str">
        <f>IF(C282&lt;&gt;"",VLOOKUP(C282,ENSEIGNES!$B$2:$D971,3,FALSE),"")</f>
        <v>CAP FRAIS</v>
      </c>
      <c r="F282" s="81">
        <v>640.32</v>
      </c>
      <c r="G282" s="32">
        <f t="shared" si="10"/>
        <v>675.5376</v>
      </c>
      <c r="H282" s="34">
        <f>IF(D282="Direct",PARAMETRES!$C$20,IF(D282="Centrale",PARAMETRES!$C$21,0))</f>
        <v>0.05</v>
      </c>
      <c r="I282" s="38">
        <f t="shared" si="2"/>
        <v>32.016</v>
      </c>
      <c r="J282" s="40">
        <f t="shared" si="3"/>
        <v>5</v>
      </c>
      <c r="K282" s="40">
        <f t="shared" si="4"/>
        <v>2026</v>
      </c>
      <c r="L282" s="30">
        <f t="shared" si="5"/>
        <v>0</v>
      </c>
    </row>
    <row r="283" ht="15.75" customHeight="1">
      <c r="A283" s="113">
        <v>46153.0</v>
      </c>
      <c r="B283" s="43" t="s">
        <v>463</v>
      </c>
      <c r="C283" s="43" t="s">
        <v>91</v>
      </c>
      <c r="D283" s="30" t="str">
        <f>IF(C283&lt;&gt;"",VLOOKUP(C283,ENSEIGNES!$B$2:$D971,2,FALSE),"")</f>
        <v>Centrale</v>
      </c>
      <c r="E283" s="30" t="str">
        <f>IF(C283&lt;&gt;"",VLOOKUP(C283,ENSEIGNES!$B$2:$D971,3,FALSE),"")</f>
        <v>CAP FRAIS</v>
      </c>
      <c r="F283" s="81">
        <v>487.2</v>
      </c>
      <c r="G283" s="32">
        <f t="shared" si="10"/>
        <v>513.996</v>
      </c>
      <c r="H283" s="34">
        <f>IF(D283="Direct",PARAMETRES!$C$20,IF(D283="Centrale",PARAMETRES!$C$21,0))</f>
        <v>0.05</v>
      </c>
      <c r="I283" s="38">
        <f t="shared" si="2"/>
        <v>24.36</v>
      </c>
      <c r="J283" s="40">
        <f t="shared" si="3"/>
        <v>5</v>
      </c>
      <c r="K283" s="40">
        <f t="shared" si="4"/>
        <v>2026</v>
      </c>
      <c r="L283" s="30">
        <f t="shared" si="5"/>
        <v>0</v>
      </c>
    </row>
    <row r="284" ht="15.75" customHeight="1">
      <c r="A284" s="113">
        <v>46153.0</v>
      </c>
      <c r="B284" s="43" t="s">
        <v>464</v>
      </c>
      <c r="C284" s="43" t="s">
        <v>91</v>
      </c>
      <c r="D284" s="30" t="str">
        <f>IF(C284&lt;&gt;"",VLOOKUP(C284,ENSEIGNES!$B$2:$D971,2,FALSE),"")</f>
        <v>Centrale</v>
      </c>
      <c r="E284" s="30" t="str">
        <f>IF(C284&lt;&gt;"",VLOOKUP(C284,ENSEIGNES!$B$2:$D971,3,FALSE),"")</f>
        <v>CAP FRAIS</v>
      </c>
      <c r="F284" s="81">
        <v>403.68</v>
      </c>
      <c r="G284" s="32">
        <f t="shared" si="10"/>
        <v>425.8824</v>
      </c>
      <c r="H284" s="34">
        <f>IF(D284="Direct",PARAMETRES!$C$20,IF(D284="Centrale",PARAMETRES!$C$21,0))</f>
        <v>0.05</v>
      </c>
      <c r="I284" s="38">
        <f t="shared" si="2"/>
        <v>20.184</v>
      </c>
      <c r="J284" s="40">
        <f t="shared" si="3"/>
        <v>5</v>
      </c>
      <c r="K284" s="40">
        <f t="shared" si="4"/>
        <v>2026</v>
      </c>
      <c r="L284" s="30">
        <f t="shared" si="5"/>
        <v>0</v>
      </c>
    </row>
    <row r="285" ht="15.75" customHeight="1">
      <c r="A285" s="113">
        <v>46155.0</v>
      </c>
      <c r="B285" s="43" t="s">
        <v>465</v>
      </c>
      <c r="C285" s="43" t="s">
        <v>69</v>
      </c>
      <c r="D285" s="30" t="str">
        <f>IF(C285&lt;&gt;"",VLOOKUP(C285,ENSEIGNES!$B$2:$D971,2,FALSE),"")</f>
        <v>Direct</v>
      </c>
      <c r="E285" s="30" t="str">
        <f>IF(C285&lt;&gt;"",VLOOKUP(C285,ENSEIGNES!$B$2:$D971,3,FALSE),"")</f>
        <v>CAP FRAIS</v>
      </c>
      <c r="F285" s="81">
        <v>1837.44</v>
      </c>
      <c r="G285" s="32">
        <f t="shared" si="10"/>
        <v>1938.4992</v>
      </c>
      <c r="H285" s="34">
        <f>IF(D285="Direct",PARAMETRES!$C$20,IF(D285="Centrale",PARAMETRES!$C$21,0))</f>
        <v>0.07</v>
      </c>
      <c r="I285" s="38">
        <f t="shared" si="2"/>
        <v>128.6208</v>
      </c>
      <c r="J285" s="40">
        <f t="shared" si="3"/>
        <v>5</v>
      </c>
      <c r="K285" s="40">
        <f t="shared" si="4"/>
        <v>2026</v>
      </c>
      <c r="L285" s="30">
        <f t="shared" si="5"/>
        <v>1</v>
      </c>
    </row>
    <row r="286" ht="15.75" customHeight="1">
      <c r="A286" s="113">
        <v>46155.0</v>
      </c>
      <c r="B286" s="43" t="s">
        <v>466</v>
      </c>
      <c r="C286" s="43" t="s">
        <v>53</v>
      </c>
      <c r="D286" s="30" t="str">
        <f>IF(C286&lt;&gt;"",VLOOKUP(C286,ENSEIGNES!$B$2:$D971,2,FALSE),"")</f>
        <v>Direct</v>
      </c>
      <c r="E286" s="30" t="str">
        <f>IF(C286&lt;&gt;"",VLOOKUP(C286,ENSEIGNES!$B$2:$D971,3,FALSE),"")</f>
        <v>CAP FRAIS</v>
      </c>
      <c r="F286" s="81">
        <v>742.4</v>
      </c>
      <c r="G286" s="32">
        <f t="shared" si="10"/>
        <v>783.232</v>
      </c>
      <c r="H286" s="34">
        <f>IF(D286="Direct",PARAMETRES!$C$20,IF(D286="Centrale",PARAMETRES!$C$21,0))</f>
        <v>0.07</v>
      </c>
      <c r="I286" s="38">
        <f t="shared" si="2"/>
        <v>51.968</v>
      </c>
      <c r="J286" s="40">
        <f t="shared" si="3"/>
        <v>5</v>
      </c>
      <c r="K286" s="40">
        <f t="shared" si="4"/>
        <v>2026</v>
      </c>
      <c r="L286" s="30">
        <f t="shared" si="5"/>
        <v>1</v>
      </c>
    </row>
    <row r="287" ht="15.75" customHeight="1">
      <c r="A287" s="113">
        <v>46155.0</v>
      </c>
      <c r="B287" s="43" t="s">
        <v>467</v>
      </c>
      <c r="C287" s="43" t="s">
        <v>91</v>
      </c>
      <c r="D287" s="30" t="str">
        <f>IF(C287&lt;&gt;"",VLOOKUP(C287,ENSEIGNES!$B$2:$D971,2,FALSE),"")</f>
        <v>Centrale</v>
      </c>
      <c r="E287" s="30" t="str">
        <f>IF(C287&lt;&gt;"",VLOOKUP(C287,ENSEIGNES!$B$2:$D971,3,FALSE),"")</f>
        <v>CAP FRAIS</v>
      </c>
      <c r="F287" s="81">
        <v>524.32</v>
      </c>
      <c r="G287" s="32">
        <f t="shared" si="10"/>
        <v>553.1576</v>
      </c>
      <c r="H287" s="34">
        <f>IF(D287="Direct",PARAMETRES!$C$20,IF(D287="Centrale",PARAMETRES!$C$21,0))</f>
        <v>0.05</v>
      </c>
      <c r="I287" s="38">
        <f t="shared" si="2"/>
        <v>26.216</v>
      </c>
      <c r="J287" s="40">
        <f t="shared" si="3"/>
        <v>5</v>
      </c>
      <c r="K287" s="40">
        <f t="shared" si="4"/>
        <v>2026</v>
      </c>
      <c r="L287" s="30">
        <f t="shared" si="5"/>
        <v>0</v>
      </c>
    </row>
    <row r="288" ht="15.75" customHeight="1">
      <c r="A288" s="113">
        <v>46155.0</v>
      </c>
      <c r="B288" s="43" t="s">
        <v>468</v>
      </c>
      <c r="C288" s="43" t="s">
        <v>91</v>
      </c>
      <c r="D288" s="30" t="str">
        <f>IF(C288&lt;&gt;"",VLOOKUP(C288,ENSEIGNES!$B$2:$D971,2,FALSE),"")</f>
        <v>Centrale</v>
      </c>
      <c r="E288" s="30" t="str">
        <f>IF(C288&lt;&gt;"",VLOOKUP(C288,ENSEIGNES!$B$2:$D971,3,FALSE),"")</f>
        <v>CAP FRAIS</v>
      </c>
      <c r="F288" s="81">
        <v>556.8</v>
      </c>
      <c r="G288" s="32">
        <f t="shared" si="10"/>
        <v>587.424</v>
      </c>
      <c r="H288" s="34">
        <f>IF(D288="Direct",PARAMETRES!$C$20,IF(D288="Centrale",PARAMETRES!$C$21,0))</f>
        <v>0.05</v>
      </c>
      <c r="I288" s="38">
        <f t="shared" si="2"/>
        <v>27.84</v>
      </c>
      <c r="J288" s="40">
        <f t="shared" si="3"/>
        <v>5</v>
      </c>
      <c r="K288" s="40">
        <f t="shared" si="4"/>
        <v>2026</v>
      </c>
      <c r="L288" s="30">
        <f t="shared" si="5"/>
        <v>0</v>
      </c>
    </row>
    <row r="289" ht="15.75" customHeight="1">
      <c r="A289" s="113">
        <v>46155.0</v>
      </c>
      <c r="B289" s="43" t="s">
        <v>469</v>
      </c>
      <c r="C289" s="43" t="s">
        <v>91</v>
      </c>
      <c r="D289" s="30" t="str">
        <f>IF(C289&lt;&gt;"",VLOOKUP(C289,ENSEIGNES!$B$2:$D971,2,FALSE),"")</f>
        <v>Centrale</v>
      </c>
      <c r="E289" s="30" t="str">
        <f>IF(C289&lt;&gt;"",VLOOKUP(C289,ENSEIGNES!$B$2:$D971,3,FALSE),"")</f>
        <v>CAP FRAIS</v>
      </c>
      <c r="F289" s="81">
        <v>431.52</v>
      </c>
      <c r="G289" s="32">
        <f t="shared" si="10"/>
        <v>455.2536</v>
      </c>
      <c r="H289" s="34">
        <f>IF(D289="Direct",PARAMETRES!$C$20,IF(D289="Centrale",PARAMETRES!$C$21,0))</f>
        <v>0.05</v>
      </c>
      <c r="I289" s="38">
        <f t="shared" si="2"/>
        <v>21.576</v>
      </c>
      <c r="J289" s="40">
        <f t="shared" si="3"/>
        <v>5</v>
      </c>
      <c r="K289" s="40">
        <f t="shared" si="4"/>
        <v>2026</v>
      </c>
      <c r="L289" s="30">
        <f t="shared" si="5"/>
        <v>0</v>
      </c>
    </row>
    <row r="290" ht="15.75" customHeight="1">
      <c r="A290" s="113">
        <v>46160.0</v>
      </c>
      <c r="B290" s="43" t="s">
        <v>470</v>
      </c>
      <c r="C290" s="43" t="s">
        <v>91</v>
      </c>
      <c r="D290" s="30" t="str">
        <f>IF(C290&lt;&gt;"",VLOOKUP(C290,ENSEIGNES!$B$2:$D971,2,FALSE),"")</f>
        <v>Centrale</v>
      </c>
      <c r="E290" s="30" t="str">
        <f>IF(C290&lt;&gt;"",VLOOKUP(C290,ENSEIGNES!$B$2:$D971,3,FALSE),"")</f>
        <v>CAP FRAIS</v>
      </c>
      <c r="F290" s="81">
        <v>440.8</v>
      </c>
      <c r="G290" s="32">
        <f t="shared" si="10"/>
        <v>465.044</v>
      </c>
      <c r="H290" s="34">
        <f>IF(D290="Direct",PARAMETRES!$C$20,IF(D290="Centrale",PARAMETRES!$C$21,0))</f>
        <v>0.05</v>
      </c>
      <c r="I290" s="38">
        <f t="shared" si="2"/>
        <v>22.04</v>
      </c>
      <c r="J290" s="40">
        <f t="shared" si="3"/>
        <v>5</v>
      </c>
      <c r="K290" s="40">
        <f t="shared" si="4"/>
        <v>2026</v>
      </c>
      <c r="L290" s="30">
        <f t="shared" si="5"/>
        <v>0</v>
      </c>
    </row>
    <row r="291" ht="15.75" customHeight="1">
      <c r="A291" s="113">
        <v>46161.0</v>
      </c>
      <c r="B291" s="43" t="s">
        <v>471</v>
      </c>
      <c r="C291" s="43" t="s">
        <v>91</v>
      </c>
      <c r="D291" s="30" t="str">
        <f>IF(C291&lt;&gt;"",VLOOKUP(C291,ENSEIGNES!$B$2:$D971,2,FALSE),"")</f>
        <v>Centrale</v>
      </c>
      <c r="E291" s="30" t="str">
        <f>IF(C291&lt;&gt;"",VLOOKUP(C291,ENSEIGNES!$B$2:$D971,3,FALSE),"")</f>
        <v>CAP FRAIS</v>
      </c>
      <c r="F291" s="81">
        <v>324.8</v>
      </c>
      <c r="G291" s="32">
        <f t="shared" si="10"/>
        <v>342.664</v>
      </c>
      <c r="H291" s="34">
        <f>IF(D291="Direct",PARAMETRES!$C$20,IF(D291="Centrale",PARAMETRES!$C$21,0))</f>
        <v>0.05</v>
      </c>
      <c r="I291" s="38">
        <f t="shared" si="2"/>
        <v>16.24</v>
      </c>
      <c r="J291" s="40">
        <f t="shared" si="3"/>
        <v>5</v>
      </c>
      <c r="K291" s="40">
        <f t="shared" si="4"/>
        <v>2026</v>
      </c>
      <c r="L291" s="30">
        <f t="shared" si="5"/>
        <v>0</v>
      </c>
    </row>
    <row r="292" ht="15.75" customHeight="1">
      <c r="A292" s="113">
        <v>46161.0</v>
      </c>
      <c r="B292" s="43" t="s">
        <v>472</v>
      </c>
      <c r="C292" s="43" t="s">
        <v>91</v>
      </c>
      <c r="D292" s="30" t="str">
        <f>IF(C292&lt;&gt;"",VLOOKUP(C292,ENSEIGNES!$B$2:$D971,2,FALSE),"")</f>
        <v>Centrale</v>
      </c>
      <c r="E292" s="30" t="str">
        <f>IF(C292&lt;&gt;"",VLOOKUP(C292,ENSEIGNES!$B$2:$D971,3,FALSE),"")</f>
        <v>CAP FRAIS</v>
      </c>
      <c r="F292" s="81">
        <v>454.72</v>
      </c>
      <c r="G292" s="32">
        <f t="shared" si="10"/>
        <v>479.7296</v>
      </c>
      <c r="H292" s="34">
        <f>IF(D292="Direct",PARAMETRES!$C$20,IF(D292="Centrale",PARAMETRES!$C$21,0))</f>
        <v>0.05</v>
      </c>
      <c r="I292" s="38">
        <f t="shared" si="2"/>
        <v>22.736</v>
      </c>
      <c r="J292" s="40">
        <f t="shared" si="3"/>
        <v>5</v>
      </c>
      <c r="K292" s="40">
        <f t="shared" si="4"/>
        <v>2026</v>
      </c>
      <c r="L292" s="30">
        <f t="shared" si="5"/>
        <v>0</v>
      </c>
    </row>
    <row r="293" ht="15.75" customHeight="1">
      <c r="A293" s="113">
        <v>46162.0</v>
      </c>
      <c r="B293" s="43" t="s">
        <v>473</v>
      </c>
      <c r="C293" s="43" t="s">
        <v>91</v>
      </c>
      <c r="D293" s="30" t="str">
        <f>IF(C293&lt;&gt;"",VLOOKUP(C293,ENSEIGNES!$B$2:$D971,2,FALSE),"")</f>
        <v>Centrale</v>
      </c>
      <c r="E293" s="30" t="str">
        <f>IF(C293&lt;&gt;"",VLOOKUP(C293,ENSEIGNES!$B$2:$D971,3,FALSE),"")</f>
        <v>CAP FRAIS</v>
      </c>
      <c r="F293" s="81">
        <v>454.72</v>
      </c>
      <c r="G293" s="32">
        <f t="shared" si="10"/>
        <v>479.7296</v>
      </c>
      <c r="H293" s="34">
        <f>IF(D293="Direct",PARAMETRES!$C$20,IF(D293="Centrale",PARAMETRES!$C$21,0))</f>
        <v>0.05</v>
      </c>
      <c r="I293" s="38">
        <f t="shared" si="2"/>
        <v>22.736</v>
      </c>
      <c r="J293" s="40">
        <f t="shared" si="3"/>
        <v>5</v>
      </c>
      <c r="K293" s="40">
        <f t="shared" si="4"/>
        <v>2026</v>
      </c>
      <c r="L293" s="30">
        <f t="shared" si="5"/>
        <v>0</v>
      </c>
    </row>
    <row r="294" ht="15.75" customHeight="1">
      <c r="A294" s="113">
        <v>46164.0</v>
      </c>
      <c r="B294" s="43" t="s">
        <v>474</v>
      </c>
      <c r="C294" s="43" t="s">
        <v>91</v>
      </c>
      <c r="D294" s="30" t="str">
        <f>IF(C294&lt;&gt;"",VLOOKUP(C294,ENSEIGNES!$B$2:$D971,2,FALSE),"")</f>
        <v>Centrale</v>
      </c>
      <c r="E294" s="30" t="str">
        <f>IF(C294&lt;&gt;"",VLOOKUP(C294,ENSEIGNES!$B$2:$D971,3,FALSE),"")</f>
        <v>CAP FRAIS</v>
      </c>
      <c r="F294" s="81">
        <v>371.2</v>
      </c>
      <c r="G294" s="32">
        <f t="shared" si="10"/>
        <v>391.616</v>
      </c>
      <c r="H294" s="34">
        <f>IF(D294="Direct",PARAMETRES!$C$20,IF(D294="Centrale",PARAMETRES!$C$21,0))</f>
        <v>0.05</v>
      </c>
      <c r="I294" s="38">
        <f t="shared" si="2"/>
        <v>18.56</v>
      </c>
      <c r="J294" s="40">
        <f t="shared" si="3"/>
        <v>5</v>
      </c>
      <c r="K294" s="40">
        <f t="shared" si="4"/>
        <v>2026</v>
      </c>
      <c r="L294" s="30">
        <f t="shared" si="5"/>
        <v>0</v>
      </c>
    </row>
    <row r="295" ht="15.75" customHeight="1">
      <c r="A295" s="113">
        <v>46164.0</v>
      </c>
      <c r="B295" s="43" t="s">
        <v>475</v>
      </c>
      <c r="C295" s="43" t="s">
        <v>91</v>
      </c>
      <c r="D295" s="30" t="str">
        <f>IF(C295&lt;&gt;"",VLOOKUP(C295,ENSEIGNES!$B$2:$D971,2,FALSE),"")</f>
        <v>Centrale</v>
      </c>
      <c r="E295" s="30" t="str">
        <f>IF(C295&lt;&gt;"",VLOOKUP(C295,ENSEIGNES!$B$2:$D971,3,FALSE),"")</f>
        <v>CAP FRAIS</v>
      </c>
      <c r="F295" s="81">
        <v>454.72</v>
      </c>
      <c r="G295" s="32">
        <f t="shared" si="10"/>
        <v>479.7296</v>
      </c>
      <c r="H295" s="34">
        <f>IF(D295="Direct",PARAMETRES!$C$20,IF(D295="Centrale",PARAMETRES!$C$21,0))</f>
        <v>0.05</v>
      </c>
      <c r="I295" s="38">
        <f t="shared" si="2"/>
        <v>22.736</v>
      </c>
      <c r="J295" s="40">
        <f t="shared" si="3"/>
        <v>5</v>
      </c>
      <c r="K295" s="40">
        <f t="shared" si="4"/>
        <v>2026</v>
      </c>
      <c r="L295" s="30">
        <f t="shared" si="5"/>
        <v>0</v>
      </c>
    </row>
    <row r="296" ht="15.75" customHeight="1">
      <c r="A296" s="113">
        <v>46168.0</v>
      </c>
      <c r="B296" s="43" t="s">
        <v>476</v>
      </c>
      <c r="C296" s="43" t="s">
        <v>91</v>
      </c>
      <c r="D296" s="30" t="str">
        <f>IF(C296&lt;&gt;"",VLOOKUP(C296,ENSEIGNES!$B$2:$D971,2,FALSE),"")</f>
        <v>Centrale</v>
      </c>
      <c r="E296" s="30" t="str">
        <f>IF(C296&lt;&gt;"",VLOOKUP(C296,ENSEIGNES!$B$2:$D971,3,FALSE),"")</f>
        <v>CAP FRAIS</v>
      </c>
      <c r="F296" s="81">
        <v>426.88</v>
      </c>
      <c r="G296" s="32">
        <f t="shared" si="10"/>
        <v>450.3584</v>
      </c>
      <c r="H296" s="34">
        <f>IF(D296="Direct",PARAMETRES!$C$20,IF(D296="Centrale",PARAMETRES!$C$21,0))</f>
        <v>0.05</v>
      </c>
      <c r="I296" s="38">
        <f t="shared" si="2"/>
        <v>21.344</v>
      </c>
      <c r="J296" s="40">
        <f t="shared" si="3"/>
        <v>5</v>
      </c>
      <c r="K296" s="40">
        <f t="shared" si="4"/>
        <v>2026</v>
      </c>
      <c r="L296" s="30">
        <f t="shared" si="5"/>
        <v>0</v>
      </c>
    </row>
    <row r="297" ht="15.75" customHeight="1">
      <c r="A297" s="113">
        <v>46168.0</v>
      </c>
      <c r="B297" s="43" t="s">
        <v>477</v>
      </c>
      <c r="C297" s="43" t="s">
        <v>91</v>
      </c>
      <c r="D297" s="30" t="str">
        <f>IF(C297&lt;&gt;"",VLOOKUP(C297,ENSEIGNES!$B$2:$D971,2,FALSE),"")</f>
        <v>Centrale</v>
      </c>
      <c r="E297" s="30" t="str">
        <f>IF(C297&lt;&gt;"",VLOOKUP(C297,ENSEIGNES!$B$2:$D971,3,FALSE),"")</f>
        <v>CAP FRAIS</v>
      </c>
      <c r="F297" s="81">
        <v>431.52</v>
      </c>
      <c r="G297" s="32">
        <f t="shared" si="10"/>
        <v>455.2536</v>
      </c>
      <c r="H297" s="34">
        <f>IF(D297="Direct",PARAMETRES!$C$20,IF(D297="Centrale",PARAMETRES!$C$21,0))</f>
        <v>0.05</v>
      </c>
      <c r="I297" s="38">
        <f t="shared" si="2"/>
        <v>21.576</v>
      </c>
      <c r="J297" s="40">
        <f t="shared" si="3"/>
        <v>5</v>
      </c>
      <c r="K297" s="40">
        <f t="shared" si="4"/>
        <v>2026</v>
      </c>
      <c r="L297" s="30">
        <f t="shared" si="5"/>
        <v>0</v>
      </c>
    </row>
    <row r="298" ht="15.75" customHeight="1">
      <c r="A298" s="113">
        <v>46169.0</v>
      </c>
      <c r="B298" s="43" t="s">
        <v>478</v>
      </c>
      <c r="C298" s="43" t="s">
        <v>91</v>
      </c>
      <c r="D298" s="30" t="str">
        <f>IF(C298&lt;&gt;"",VLOOKUP(C298,ENSEIGNES!$B$2:$D971,2,FALSE),"")</f>
        <v>Centrale</v>
      </c>
      <c r="E298" s="30" t="str">
        <f>IF(C298&lt;&gt;"",VLOOKUP(C298,ENSEIGNES!$B$2:$D971,3,FALSE),"")</f>
        <v>CAP FRAIS</v>
      </c>
      <c r="F298" s="81">
        <v>459.36</v>
      </c>
      <c r="G298" s="32">
        <f t="shared" si="10"/>
        <v>484.6248</v>
      </c>
      <c r="H298" s="34">
        <f>IF(D298="Direct",PARAMETRES!$C$20,IF(D298="Centrale",PARAMETRES!$C$21,0))</f>
        <v>0.05</v>
      </c>
      <c r="I298" s="38">
        <f t="shared" si="2"/>
        <v>22.968</v>
      </c>
      <c r="J298" s="40">
        <f t="shared" si="3"/>
        <v>5</v>
      </c>
      <c r="K298" s="40">
        <f t="shared" si="4"/>
        <v>2026</v>
      </c>
      <c r="L298" s="30">
        <f t="shared" si="5"/>
        <v>0</v>
      </c>
    </row>
    <row r="299" ht="15.75" customHeight="1">
      <c r="A299" s="113">
        <v>46146.0</v>
      </c>
      <c r="B299" s="43" t="s">
        <v>479</v>
      </c>
      <c r="C299" s="43" t="s">
        <v>37</v>
      </c>
      <c r="D299" s="30" t="str">
        <f>IF(C299&lt;&gt;"",VLOOKUP(C299,ENSEIGNES!$B$2:$D971,2,FALSE),"")</f>
        <v>Centrale</v>
      </c>
      <c r="E299" s="30" t="str">
        <f>IF(C299&lt;&gt;"",VLOOKUP(C299,ENSEIGNES!$B$2:$D971,3,FALSE),"")</f>
        <v>CAP FRAIS</v>
      </c>
      <c r="F299" s="81">
        <v>280.02</v>
      </c>
      <c r="G299" s="32">
        <f t="shared" si="10"/>
        <v>295.4211</v>
      </c>
      <c r="H299" s="34">
        <f>IF(D299="Direct",PARAMETRES!$C$20,IF(D299="Centrale",PARAMETRES!$C$21,0))</f>
        <v>0.05</v>
      </c>
      <c r="I299" s="38">
        <f t="shared" si="2"/>
        <v>14.001</v>
      </c>
      <c r="J299" s="40">
        <f t="shared" si="3"/>
        <v>5</v>
      </c>
      <c r="K299" s="40">
        <f t="shared" si="4"/>
        <v>2026</v>
      </c>
      <c r="L299" s="30">
        <f t="shared" si="5"/>
        <v>1</v>
      </c>
    </row>
    <row r="300" ht="15.75" customHeight="1">
      <c r="A300" s="113">
        <v>46148.0</v>
      </c>
      <c r="B300" s="43" t="s">
        <v>480</v>
      </c>
      <c r="C300" s="43" t="s">
        <v>37</v>
      </c>
      <c r="D300" s="30" t="str">
        <f>IF(C300&lt;&gt;"",VLOOKUP(C300,ENSEIGNES!$B$2:$D971,2,FALSE),"")</f>
        <v>Centrale</v>
      </c>
      <c r="E300" s="30" t="str">
        <f>IF(C300&lt;&gt;"",VLOOKUP(C300,ENSEIGNES!$B$2:$D971,3,FALSE),"")</f>
        <v>CAP FRAIS</v>
      </c>
      <c r="F300" s="81">
        <v>693.6</v>
      </c>
      <c r="G300" s="32">
        <f t="shared" si="10"/>
        <v>731.748</v>
      </c>
      <c r="H300" s="34">
        <f>IF(D300="Direct",PARAMETRES!$C$20,IF(D300="Centrale",PARAMETRES!$C$21,0))</f>
        <v>0.05</v>
      </c>
      <c r="I300" s="38">
        <f t="shared" si="2"/>
        <v>34.68</v>
      </c>
      <c r="J300" s="40">
        <f t="shared" si="3"/>
        <v>5</v>
      </c>
      <c r="K300" s="40">
        <f t="shared" si="4"/>
        <v>2026</v>
      </c>
      <c r="L300" s="30">
        <f t="shared" si="5"/>
        <v>0</v>
      </c>
    </row>
    <row r="301" ht="15.75" customHeight="1">
      <c r="A301" s="113">
        <v>46153.0</v>
      </c>
      <c r="B301" s="43" t="s">
        <v>481</v>
      </c>
      <c r="C301" s="43" t="s">
        <v>37</v>
      </c>
      <c r="D301" s="30" t="str">
        <f>IF(C301&lt;&gt;"",VLOOKUP(C301,ENSEIGNES!$B$2:$D971,2,FALSE),"")</f>
        <v>Centrale</v>
      </c>
      <c r="E301" s="30" t="str">
        <f>IF(C301&lt;&gt;"",VLOOKUP(C301,ENSEIGNES!$B$2:$D971,3,FALSE),"")</f>
        <v>CAP FRAIS</v>
      </c>
      <c r="F301" s="81">
        <v>370.49</v>
      </c>
      <c r="G301" s="32">
        <f t="shared" si="10"/>
        <v>390.86695</v>
      </c>
      <c r="H301" s="34">
        <f>IF(D301="Direct",PARAMETRES!$C$20,IF(D301="Centrale",PARAMETRES!$C$21,0))</f>
        <v>0.05</v>
      </c>
      <c r="I301" s="38">
        <f t="shared" si="2"/>
        <v>18.5245</v>
      </c>
      <c r="J301" s="40">
        <f t="shared" si="3"/>
        <v>5</v>
      </c>
      <c r="K301" s="40">
        <f t="shared" si="4"/>
        <v>2026</v>
      </c>
      <c r="L301" s="30">
        <f t="shared" si="5"/>
        <v>0</v>
      </c>
    </row>
    <row r="302" ht="15.75" customHeight="1">
      <c r="A302" s="113">
        <v>46155.0</v>
      </c>
      <c r="B302" s="43" t="s">
        <v>482</v>
      </c>
      <c r="C302" s="43" t="s">
        <v>37</v>
      </c>
      <c r="D302" s="30" t="str">
        <f>IF(C302&lt;&gt;"",VLOOKUP(C302,ENSEIGNES!$B$2:$D971,2,FALSE),"")</f>
        <v>Centrale</v>
      </c>
      <c r="E302" s="30" t="str">
        <f>IF(C302&lt;&gt;"",VLOOKUP(C302,ENSEIGNES!$B$2:$D971,3,FALSE),"")</f>
        <v>CAP FRAIS</v>
      </c>
      <c r="F302" s="81">
        <v>620.36</v>
      </c>
      <c r="G302" s="32">
        <f t="shared" si="10"/>
        <v>654.4798</v>
      </c>
      <c r="H302" s="34">
        <f>IF(D302="Direct",PARAMETRES!$C$20,IF(D302="Centrale",PARAMETRES!$C$21,0))</f>
        <v>0.05</v>
      </c>
      <c r="I302" s="38">
        <f t="shared" si="2"/>
        <v>31.018</v>
      </c>
      <c r="J302" s="40">
        <f t="shared" si="3"/>
        <v>5</v>
      </c>
      <c r="K302" s="40">
        <f t="shared" si="4"/>
        <v>2026</v>
      </c>
      <c r="L302" s="30">
        <f t="shared" si="5"/>
        <v>0</v>
      </c>
    </row>
    <row r="303" ht="15.75" customHeight="1">
      <c r="A303" s="113">
        <v>46162.0</v>
      </c>
      <c r="B303" s="43" t="s">
        <v>483</v>
      </c>
      <c r="C303" s="43" t="s">
        <v>37</v>
      </c>
      <c r="D303" s="30" t="str">
        <f>IF(C303&lt;&gt;"",VLOOKUP(C303,ENSEIGNES!$B$2:$D971,2,FALSE),"")</f>
        <v>Centrale</v>
      </c>
      <c r="E303" s="30" t="str">
        <f>IF(C303&lt;&gt;"",VLOOKUP(C303,ENSEIGNES!$B$2:$D971,3,FALSE),"")</f>
        <v>CAP FRAIS</v>
      </c>
      <c r="F303" s="81">
        <v>560.05</v>
      </c>
      <c r="G303" s="32">
        <f t="shared" si="10"/>
        <v>590.85275</v>
      </c>
      <c r="H303" s="34">
        <f>IF(D303="Direct",PARAMETRES!$C$20,IF(D303="Centrale",PARAMETRES!$C$21,0))</f>
        <v>0.05</v>
      </c>
      <c r="I303" s="38">
        <f t="shared" si="2"/>
        <v>28.0025</v>
      </c>
      <c r="J303" s="40">
        <f t="shared" si="3"/>
        <v>5</v>
      </c>
      <c r="K303" s="40">
        <f t="shared" si="4"/>
        <v>2026</v>
      </c>
      <c r="L303" s="30">
        <f t="shared" si="5"/>
        <v>0</v>
      </c>
    </row>
    <row r="304" ht="15.75" customHeight="1">
      <c r="A304" s="113">
        <v>46168.0</v>
      </c>
      <c r="B304" s="43" t="s">
        <v>484</v>
      </c>
      <c r="C304" s="43" t="s">
        <v>37</v>
      </c>
      <c r="D304" s="30" t="str">
        <f>IF(C304&lt;&gt;"",VLOOKUP(C304,ENSEIGNES!$B$2:$D971,2,FALSE),"")</f>
        <v>Centrale</v>
      </c>
      <c r="E304" s="30" t="str">
        <f>IF(C304&lt;&gt;"",VLOOKUP(C304,ENSEIGNES!$B$2:$D971,3,FALSE),"")</f>
        <v>CAP FRAIS</v>
      </c>
      <c r="F304" s="81">
        <v>508.35</v>
      </c>
      <c r="G304" s="32">
        <f t="shared" si="10"/>
        <v>536.30925</v>
      </c>
      <c r="H304" s="34">
        <f>IF(D304="Direct",PARAMETRES!$C$20,IF(D304="Centrale",PARAMETRES!$C$21,0))</f>
        <v>0.05</v>
      </c>
      <c r="I304" s="38">
        <f t="shared" si="2"/>
        <v>25.4175</v>
      </c>
      <c r="J304" s="40">
        <f t="shared" si="3"/>
        <v>5</v>
      </c>
      <c r="K304" s="40">
        <f t="shared" si="4"/>
        <v>2026</v>
      </c>
      <c r="L304" s="30">
        <f t="shared" si="5"/>
        <v>0</v>
      </c>
    </row>
    <row r="305" ht="15.75" customHeight="1">
      <c r="A305" s="113">
        <v>46157.0</v>
      </c>
      <c r="B305" s="43" t="s">
        <v>485</v>
      </c>
      <c r="C305" s="43" t="s">
        <v>87</v>
      </c>
      <c r="D305" s="30" t="str">
        <f>IF(C305&lt;&gt;"",VLOOKUP(C305,ENSEIGNES!$B$2:$D971,2,FALSE),"")</f>
        <v>Direct</v>
      </c>
      <c r="E305" s="30" t="str">
        <f>IF(C305&lt;&gt;"",VLOOKUP(C305,ENSEIGNES!$B$2:$D971,3,FALSE),"")</f>
        <v>BROCARD</v>
      </c>
      <c r="F305" s="81">
        <v>487.2</v>
      </c>
      <c r="G305" s="32">
        <f t="shared" si="10"/>
        <v>513.996</v>
      </c>
      <c r="H305" s="34">
        <f>IF(D305="Direct",PARAMETRES!$C$20,IF(D305="Centrale",PARAMETRES!$C$21,0))</f>
        <v>0.07</v>
      </c>
      <c r="I305" s="38">
        <f t="shared" si="2"/>
        <v>34.104</v>
      </c>
      <c r="J305" s="40">
        <f t="shared" si="3"/>
        <v>5</v>
      </c>
      <c r="K305" s="40">
        <f t="shared" si="4"/>
        <v>2026</v>
      </c>
      <c r="L305" s="30">
        <f t="shared" si="5"/>
        <v>1</v>
      </c>
    </row>
    <row r="306" ht="15.75" customHeight="1">
      <c r="A306" s="113">
        <v>46148.0</v>
      </c>
      <c r="B306" s="43" t="s">
        <v>486</v>
      </c>
      <c r="C306" s="43" t="s">
        <v>50</v>
      </c>
      <c r="D306" s="30" t="str">
        <f>IF(C306&lt;&gt;"",VLOOKUP(C306,ENSEIGNES!$B$2:$D971,2,FALSE),"")</f>
        <v>Direct</v>
      </c>
      <c r="E306" s="30" t="str">
        <f>IF(C306&lt;&gt;"",VLOOKUP(C306,ENSEIGNES!$B$2:$D971,3,FALSE),"")</f>
        <v>BROCARD</v>
      </c>
      <c r="F306" s="81">
        <v>464.0</v>
      </c>
      <c r="G306" s="32">
        <f t="shared" si="10"/>
        <v>489.52</v>
      </c>
      <c r="H306" s="34">
        <f>IF(D306="Direct",PARAMETRES!$C$20,IF(D306="Centrale",PARAMETRES!$C$21,0))</f>
        <v>0.07</v>
      </c>
      <c r="I306" s="38">
        <f t="shared" si="2"/>
        <v>32.48</v>
      </c>
      <c r="J306" s="40">
        <f t="shared" si="3"/>
        <v>5</v>
      </c>
      <c r="K306" s="40">
        <f t="shared" si="4"/>
        <v>2026</v>
      </c>
      <c r="L306" s="30">
        <f t="shared" si="5"/>
        <v>1</v>
      </c>
    </row>
    <row r="307" ht="15.75" customHeight="1">
      <c r="A307" s="113">
        <v>46168.0</v>
      </c>
      <c r="B307" s="43" t="s">
        <v>487</v>
      </c>
      <c r="C307" s="43" t="s">
        <v>62</v>
      </c>
      <c r="D307" s="30" t="str">
        <f>IF(C307&lt;&gt;"",VLOOKUP(C307,ENSEIGNES!$B$2:$D971,2,FALSE),"")</f>
        <v>Centrale</v>
      </c>
      <c r="E307" s="30" t="str">
        <f>IF(C307&lt;&gt;"",VLOOKUP(C307,ENSEIGNES!$B$2:$D971,3,FALSE),"")</f>
        <v>GMA GROUP</v>
      </c>
      <c r="F307" s="81">
        <v>1425.6</v>
      </c>
      <c r="G307" s="32"/>
      <c r="H307" s="34">
        <f>IF(D307="Direct",PARAMETRES!$C$20,IF(D307="Centrale",PARAMETRES!$C$21,0))</f>
        <v>0.05</v>
      </c>
      <c r="I307" s="38">
        <f t="shared" si="2"/>
        <v>71.28</v>
      </c>
      <c r="J307" s="40">
        <f t="shared" si="3"/>
        <v>5</v>
      </c>
      <c r="K307" s="40">
        <f t="shared" si="4"/>
        <v>2026</v>
      </c>
      <c r="L307" s="30">
        <f t="shared" si="5"/>
        <v>1</v>
      </c>
    </row>
    <row r="308" ht="15.75" customHeight="1">
      <c r="A308" s="113">
        <v>46162.0</v>
      </c>
      <c r="B308" s="43" t="s">
        <v>488</v>
      </c>
      <c r="C308" s="43" t="s">
        <v>62</v>
      </c>
      <c r="D308" s="30" t="str">
        <f>IF(C308&lt;&gt;"",VLOOKUP(C308,ENSEIGNES!$B$2:$D971,2,FALSE),"")</f>
        <v>Centrale</v>
      </c>
      <c r="E308" s="30" t="str">
        <f>IF(C308&lt;&gt;"",VLOOKUP(C308,ENSEIGNES!$B$2:$D971,3,FALSE),"")</f>
        <v>GMA GROUP</v>
      </c>
      <c r="F308" s="81">
        <v>1425.6</v>
      </c>
      <c r="G308" s="32"/>
      <c r="H308" s="34">
        <f>IF(D308="Direct",PARAMETRES!$C$20,IF(D308="Centrale",PARAMETRES!$C$21,0))</f>
        <v>0.05</v>
      </c>
      <c r="I308" s="38">
        <f t="shared" si="2"/>
        <v>71.28</v>
      </c>
      <c r="J308" s="40">
        <f t="shared" si="3"/>
        <v>5</v>
      </c>
      <c r="K308" s="40">
        <f t="shared" si="4"/>
        <v>2026</v>
      </c>
      <c r="L308" s="30">
        <f t="shared" si="5"/>
        <v>0</v>
      </c>
    </row>
    <row r="309" ht="15.75" customHeight="1">
      <c r="A309" s="113">
        <v>46155.0</v>
      </c>
      <c r="B309" s="43" t="s">
        <v>489</v>
      </c>
      <c r="C309" s="43" t="s">
        <v>62</v>
      </c>
      <c r="D309" s="30" t="str">
        <f>IF(C309&lt;&gt;"",VLOOKUP(C309,ENSEIGNES!$B$2:$D971,2,FALSE),"")</f>
        <v>Centrale</v>
      </c>
      <c r="E309" s="30" t="str">
        <f>IF(C309&lt;&gt;"",VLOOKUP(C309,ENSEIGNES!$B$2:$D971,3,FALSE),"")</f>
        <v>GMA GROUP</v>
      </c>
      <c r="F309" s="81">
        <v>1486.4</v>
      </c>
      <c r="G309" s="32"/>
      <c r="H309" s="34">
        <f>IF(D309="Direct",PARAMETRES!$C$20,IF(D309="Centrale",PARAMETRES!$C$21,0))</f>
        <v>0.05</v>
      </c>
      <c r="I309" s="38">
        <f t="shared" si="2"/>
        <v>74.32</v>
      </c>
      <c r="J309" s="40">
        <f t="shared" si="3"/>
        <v>5</v>
      </c>
      <c r="K309" s="40">
        <f t="shared" si="4"/>
        <v>2026</v>
      </c>
      <c r="L309" s="30">
        <f t="shared" si="5"/>
        <v>0</v>
      </c>
    </row>
    <row r="310" ht="15.75" customHeight="1">
      <c r="A310" s="113">
        <v>46153.0</v>
      </c>
      <c r="B310" s="43" t="s">
        <v>490</v>
      </c>
      <c r="C310" s="43" t="s">
        <v>62</v>
      </c>
      <c r="D310" s="30" t="str">
        <f>IF(C310&lt;&gt;"",VLOOKUP(C310,ENSEIGNES!$B$2:$D971,2,FALSE),"")</f>
        <v>Centrale</v>
      </c>
      <c r="E310" s="30" t="str">
        <f>IF(C310&lt;&gt;"",VLOOKUP(C310,ENSEIGNES!$B$2:$D971,3,FALSE),"")</f>
        <v>GMA GROUP</v>
      </c>
      <c r="F310" s="81">
        <v>1425.6</v>
      </c>
      <c r="G310" s="32"/>
      <c r="H310" s="34">
        <f>IF(D310="Direct",PARAMETRES!$C$20,IF(D310="Centrale",PARAMETRES!$C$21,0))</f>
        <v>0.05</v>
      </c>
      <c r="I310" s="38">
        <f t="shared" si="2"/>
        <v>71.28</v>
      </c>
      <c r="J310" s="40">
        <f t="shared" si="3"/>
        <v>5</v>
      </c>
      <c r="K310" s="40">
        <f t="shared" si="4"/>
        <v>2026</v>
      </c>
      <c r="L310" s="30">
        <f t="shared" si="5"/>
        <v>0</v>
      </c>
    </row>
    <row r="311" ht="15.75" customHeight="1">
      <c r="A311" s="113">
        <v>46170.0</v>
      </c>
      <c r="B311" s="43" t="s">
        <v>491</v>
      </c>
      <c r="C311" s="43" t="s">
        <v>37</v>
      </c>
      <c r="D311" s="30" t="str">
        <f>IF(C311&lt;&gt;"",VLOOKUP(C311,ENSEIGNES!$B$2:$D971,2,FALSE),"")</f>
        <v>Centrale</v>
      </c>
      <c r="E311" s="30" t="str">
        <f>IF(C311&lt;&gt;"",VLOOKUP(C311,ENSEIGNES!$B$2:$D971,3,FALSE),"")</f>
        <v>CAP FRAIS</v>
      </c>
      <c r="F311" s="81">
        <v>297.26</v>
      </c>
      <c r="G311" s="32">
        <f t="shared" ref="G311:G539" si="11">F311*(1+5.5%)</f>
        <v>313.6093</v>
      </c>
      <c r="H311" s="34">
        <f>IF(D311="Direct",PARAMETRES!$C$20,IF(D311="Centrale",PARAMETRES!$C$21,0))</f>
        <v>0.05</v>
      </c>
      <c r="I311" s="38">
        <f t="shared" si="2"/>
        <v>14.863</v>
      </c>
      <c r="J311" s="40">
        <f t="shared" si="3"/>
        <v>5</v>
      </c>
      <c r="K311" s="40">
        <f t="shared" si="4"/>
        <v>2026</v>
      </c>
      <c r="L311" s="30">
        <f t="shared" si="5"/>
        <v>0</v>
      </c>
    </row>
    <row r="312" ht="15.75" customHeight="1">
      <c r="A312" s="113">
        <v>46146.0</v>
      </c>
      <c r="B312" s="43" t="s">
        <v>492</v>
      </c>
      <c r="C312" s="43" t="s">
        <v>7</v>
      </c>
      <c r="D312" s="30" t="str">
        <f>IF(C312&lt;&gt;"",VLOOKUP(C312,ENSEIGNES!$B$2:$D971,2,FALSE),"")</f>
        <v>Centrale</v>
      </c>
      <c r="E312" s="30" t="str">
        <f>IF(C312&lt;&gt;"",VLOOKUP(C312,ENSEIGNES!$B$2:$D971,3,FALSE),"")</f>
        <v>BROCARD</v>
      </c>
      <c r="F312" s="81">
        <v>736.68</v>
      </c>
      <c r="G312" s="32">
        <f t="shared" si="11"/>
        <v>777.1974</v>
      </c>
      <c r="H312" s="34">
        <f>IF(D312="Direct",PARAMETRES!$C$20,IF(D312="Centrale",PARAMETRES!$C$21,0))</f>
        <v>0.05</v>
      </c>
      <c r="I312" s="38">
        <f t="shared" si="2"/>
        <v>36.834</v>
      </c>
      <c r="J312" s="40">
        <f t="shared" si="3"/>
        <v>5</v>
      </c>
      <c r="K312" s="40">
        <f t="shared" si="4"/>
        <v>2026</v>
      </c>
      <c r="L312" s="30">
        <f t="shared" si="5"/>
        <v>1</v>
      </c>
    </row>
    <row r="313" ht="15.75" customHeight="1">
      <c r="A313" s="113">
        <v>46148.0</v>
      </c>
      <c r="B313" s="43" t="s">
        <v>493</v>
      </c>
      <c r="C313" s="43" t="s">
        <v>7</v>
      </c>
      <c r="D313" s="30" t="str">
        <f>IF(C313&lt;&gt;"",VLOOKUP(C313,ENSEIGNES!$B$2:$D971,2,FALSE),"")</f>
        <v>Centrale</v>
      </c>
      <c r="E313" s="30" t="str">
        <f>IF(C313&lt;&gt;"",VLOOKUP(C313,ENSEIGNES!$B$2:$D971,3,FALSE),"")</f>
        <v>BROCARD</v>
      </c>
      <c r="F313" s="81">
        <v>598.82</v>
      </c>
      <c r="G313" s="32">
        <f t="shared" si="11"/>
        <v>631.7551</v>
      </c>
      <c r="H313" s="34">
        <f>IF(D313="Direct",PARAMETRES!$C$20,IF(D313="Centrale",PARAMETRES!$C$21,0))</f>
        <v>0.05</v>
      </c>
      <c r="I313" s="38">
        <f t="shared" si="2"/>
        <v>29.941</v>
      </c>
      <c r="J313" s="40">
        <f t="shared" si="3"/>
        <v>5</v>
      </c>
      <c r="K313" s="40">
        <f t="shared" si="4"/>
        <v>2026</v>
      </c>
      <c r="L313" s="30">
        <f t="shared" si="5"/>
        <v>0</v>
      </c>
    </row>
    <row r="314" ht="15.75" customHeight="1">
      <c r="A314" s="113">
        <v>46148.0</v>
      </c>
      <c r="B314" s="43" t="s">
        <v>494</v>
      </c>
      <c r="C314" s="43" t="s">
        <v>7</v>
      </c>
      <c r="D314" s="30" t="str">
        <f>IF(C314&lt;&gt;"",VLOOKUP(C314,ENSEIGNES!$B$2:$D971,2,FALSE),"")</f>
        <v>Centrale</v>
      </c>
      <c r="E314" s="30" t="str">
        <f>IF(C314&lt;&gt;"",VLOOKUP(C314,ENSEIGNES!$B$2:$D971,3,FALSE),"")</f>
        <v>BROCARD</v>
      </c>
      <c r="F314" s="81">
        <v>667.75</v>
      </c>
      <c r="G314" s="32">
        <f t="shared" si="11"/>
        <v>704.47625</v>
      </c>
      <c r="H314" s="34">
        <f>IF(D314="Direct",PARAMETRES!$C$20,IF(D314="Centrale",PARAMETRES!$C$21,0))</f>
        <v>0.05</v>
      </c>
      <c r="I314" s="38">
        <f t="shared" si="2"/>
        <v>33.3875</v>
      </c>
      <c r="J314" s="40">
        <f t="shared" si="3"/>
        <v>5</v>
      </c>
      <c r="K314" s="40">
        <f t="shared" si="4"/>
        <v>2026</v>
      </c>
      <c r="L314" s="30">
        <f t="shared" si="5"/>
        <v>0</v>
      </c>
    </row>
    <row r="315" ht="15.75" customHeight="1">
      <c r="A315" s="113">
        <v>46148.0</v>
      </c>
      <c r="B315" s="43" t="s">
        <v>495</v>
      </c>
      <c r="C315" s="43" t="s">
        <v>7</v>
      </c>
      <c r="D315" s="30" t="str">
        <f>IF(C315&lt;&gt;"",VLOOKUP(C315,ENSEIGNES!$B$2:$D971,2,FALSE),"")</f>
        <v>Centrale</v>
      </c>
      <c r="E315" s="30" t="str">
        <f>IF(C315&lt;&gt;"",VLOOKUP(C315,ENSEIGNES!$B$2:$D971,3,FALSE),"")</f>
        <v>BROCARD</v>
      </c>
      <c r="F315" s="81">
        <v>379.11</v>
      </c>
      <c r="G315" s="32">
        <f t="shared" si="11"/>
        <v>399.96105</v>
      </c>
      <c r="H315" s="34">
        <f>IF(D315="Direct",PARAMETRES!$C$20,IF(D315="Centrale",PARAMETRES!$C$21,0))</f>
        <v>0.05</v>
      </c>
      <c r="I315" s="38">
        <f t="shared" si="2"/>
        <v>18.9555</v>
      </c>
      <c r="J315" s="40">
        <f t="shared" si="3"/>
        <v>5</v>
      </c>
      <c r="K315" s="40">
        <f t="shared" si="4"/>
        <v>2026</v>
      </c>
      <c r="L315" s="30">
        <f t="shared" si="5"/>
        <v>0</v>
      </c>
    </row>
    <row r="316" ht="15.75" customHeight="1">
      <c r="A316" s="113">
        <v>46149.0</v>
      </c>
      <c r="B316" s="43" t="s">
        <v>496</v>
      </c>
      <c r="C316" s="43" t="s">
        <v>7</v>
      </c>
      <c r="D316" s="30" t="str">
        <f>IF(C316&lt;&gt;"",VLOOKUP(C316,ENSEIGNES!$B$2:$D971,2,FALSE),"")</f>
        <v>Centrale</v>
      </c>
      <c r="E316" s="30" t="str">
        <f>IF(C316&lt;&gt;"",VLOOKUP(C316,ENSEIGNES!$B$2:$D971,3,FALSE),"")</f>
        <v>BROCARD</v>
      </c>
      <c r="F316" s="81">
        <v>620.36</v>
      </c>
      <c r="G316" s="32">
        <f t="shared" si="11"/>
        <v>654.4798</v>
      </c>
      <c r="H316" s="34">
        <f>IF(D316="Direct",PARAMETRES!$C$20,IF(D316="Centrale",PARAMETRES!$C$21,0))</f>
        <v>0.05</v>
      </c>
      <c r="I316" s="38">
        <f t="shared" si="2"/>
        <v>31.018</v>
      </c>
      <c r="J316" s="40">
        <f t="shared" si="3"/>
        <v>5</v>
      </c>
      <c r="K316" s="40">
        <f t="shared" si="4"/>
        <v>2026</v>
      </c>
      <c r="L316" s="30">
        <f t="shared" si="5"/>
        <v>0</v>
      </c>
    </row>
    <row r="317" ht="15.75" customHeight="1">
      <c r="A317" s="113">
        <v>46153.0</v>
      </c>
      <c r="B317" s="43" t="s">
        <v>497</v>
      </c>
      <c r="C317" s="43" t="s">
        <v>7</v>
      </c>
      <c r="D317" s="30" t="str">
        <f>IF(C317&lt;&gt;"",VLOOKUP(C317,ENSEIGNES!$B$2:$D971,2,FALSE),"")</f>
        <v>Centrale</v>
      </c>
      <c r="E317" s="30" t="str">
        <f>IF(C317&lt;&gt;"",VLOOKUP(C317,ENSEIGNES!$B$2:$D971,3,FALSE),"")</f>
        <v>BROCARD</v>
      </c>
      <c r="F317" s="81">
        <v>594.51</v>
      </c>
      <c r="G317" s="32">
        <f t="shared" si="11"/>
        <v>627.20805</v>
      </c>
      <c r="H317" s="34">
        <f>IF(D317="Direct",PARAMETRES!$C$20,IF(D317="Centrale",PARAMETRES!$C$21,0))</f>
        <v>0.05</v>
      </c>
      <c r="I317" s="38">
        <f t="shared" si="2"/>
        <v>29.7255</v>
      </c>
      <c r="J317" s="40">
        <f t="shared" si="3"/>
        <v>5</v>
      </c>
      <c r="K317" s="40">
        <f t="shared" si="4"/>
        <v>2026</v>
      </c>
      <c r="L317" s="30">
        <f t="shared" si="5"/>
        <v>0</v>
      </c>
    </row>
    <row r="318" ht="15.75" customHeight="1">
      <c r="A318" s="113">
        <v>46153.0</v>
      </c>
      <c r="B318" s="43" t="s">
        <v>498</v>
      </c>
      <c r="C318" s="43" t="s">
        <v>7</v>
      </c>
      <c r="D318" s="30" t="str">
        <f>IF(C318&lt;&gt;"",VLOOKUP(C318,ENSEIGNES!$B$2:$D971,2,FALSE),"")</f>
        <v>Centrale</v>
      </c>
      <c r="E318" s="30" t="str">
        <f>IF(C318&lt;&gt;"",VLOOKUP(C318,ENSEIGNES!$B$2:$D971,3,FALSE),"")</f>
        <v>BROCARD</v>
      </c>
      <c r="F318" s="81">
        <v>534.2</v>
      </c>
      <c r="G318" s="32">
        <f t="shared" si="11"/>
        <v>563.581</v>
      </c>
      <c r="H318" s="34">
        <f>IF(D318="Direct",PARAMETRES!$C$20,IF(D318="Centrale",PARAMETRES!$C$21,0))</f>
        <v>0.05</v>
      </c>
      <c r="I318" s="38">
        <f t="shared" si="2"/>
        <v>26.71</v>
      </c>
      <c r="J318" s="40">
        <f t="shared" si="3"/>
        <v>5</v>
      </c>
      <c r="K318" s="40">
        <f t="shared" si="4"/>
        <v>2026</v>
      </c>
      <c r="L318" s="30">
        <f t="shared" si="5"/>
        <v>0</v>
      </c>
    </row>
    <row r="319" ht="15.75" customHeight="1">
      <c r="A319" s="113">
        <v>46155.0</v>
      </c>
      <c r="B319" s="43" t="s">
        <v>499</v>
      </c>
      <c r="C319" s="43" t="s">
        <v>7</v>
      </c>
      <c r="D319" s="30" t="str">
        <f>IF(C319&lt;&gt;"",VLOOKUP(C319,ENSEIGNES!$B$2:$D971,2,FALSE),"")</f>
        <v>Centrale</v>
      </c>
      <c r="E319" s="30" t="str">
        <f>IF(C319&lt;&gt;"",VLOOKUP(C319,ENSEIGNES!$B$2:$D971,3,FALSE),"")</f>
        <v>BROCARD</v>
      </c>
      <c r="F319" s="81">
        <v>435.11</v>
      </c>
      <c r="G319" s="32">
        <f t="shared" si="11"/>
        <v>459.04105</v>
      </c>
      <c r="H319" s="34">
        <f>IF(D319="Direct",PARAMETRES!$C$20,IF(D319="Centrale",PARAMETRES!$C$21,0))</f>
        <v>0.05</v>
      </c>
      <c r="I319" s="38">
        <f t="shared" si="2"/>
        <v>21.7555</v>
      </c>
      <c r="J319" s="40">
        <f t="shared" si="3"/>
        <v>5</v>
      </c>
      <c r="K319" s="40">
        <f t="shared" si="4"/>
        <v>2026</v>
      </c>
      <c r="L319" s="30">
        <f t="shared" si="5"/>
        <v>0</v>
      </c>
    </row>
    <row r="320" ht="15.75" customHeight="1">
      <c r="A320" s="113">
        <v>46155.0</v>
      </c>
      <c r="B320" s="43" t="s">
        <v>500</v>
      </c>
      <c r="C320" s="43" t="s">
        <v>7</v>
      </c>
      <c r="D320" s="30" t="str">
        <f>IF(C320&lt;&gt;"",VLOOKUP(C320,ENSEIGNES!$B$2:$D971,2,FALSE),"")</f>
        <v>Centrale</v>
      </c>
      <c r="E320" s="30" t="str">
        <f>IF(C320&lt;&gt;"",VLOOKUP(C320,ENSEIGNES!$B$2:$D971,3,FALSE),"")</f>
        <v>BROCARD</v>
      </c>
      <c r="F320" s="81">
        <v>396.34</v>
      </c>
      <c r="G320" s="32">
        <f t="shared" si="11"/>
        <v>418.1387</v>
      </c>
      <c r="H320" s="34">
        <f>IF(D320="Direct",PARAMETRES!$C$20,IF(D320="Centrale",PARAMETRES!$C$21,0))</f>
        <v>0.05</v>
      </c>
      <c r="I320" s="38">
        <f t="shared" si="2"/>
        <v>19.817</v>
      </c>
      <c r="J320" s="40">
        <f t="shared" si="3"/>
        <v>5</v>
      </c>
      <c r="K320" s="40">
        <f t="shared" si="4"/>
        <v>2026</v>
      </c>
      <c r="L320" s="30">
        <f t="shared" si="5"/>
        <v>0</v>
      </c>
    </row>
    <row r="321" ht="15.75" customHeight="1">
      <c r="A321" s="113">
        <v>46157.0</v>
      </c>
      <c r="B321" s="43" t="s">
        <v>501</v>
      </c>
      <c r="C321" s="43" t="s">
        <v>7</v>
      </c>
      <c r="D321" s="30" t="str">
        <f>IF(C321&lt;&gt;"",VLOOKUP(C321,ENSEIGNES!$B$2:$D971,2,FALSE),"")</f>
        <v>Centrale</v>
      </c>
      <c r="E321" s="30" t="str">
        <f>IF(C321&lt;&gt;"",VLOOKUP(C321,ENSEIGNES!$B$2:$D971,3,FALSE),"")</f>
        <v>BROCARD</v>
      </c>
      <c r="F321" s="81">
        <v>366.18</v>
      </c>
      <c r="G321" s="32">
        <f t="shared" si="11"/>
        <v>386.3199</v>
      </c>
      <c r="H321" s="34">
        <f>IF(D321="Direct",PARAMETRES!$C$20,IF(D321="Centrale",PARAMETRES!$C$21,0))</f>
        <v>0.05</v>
      </c>
      <c r="I321" s="38">
        <f t="shared" si="2"/>
        <v>18.309</v>
      </c>
      <c r="J321" s="40">
        <f t="shared" si="3"/>
        <v>5</v>
      </c>
      <c r="K321" s="40">
        <f t="shared" si="4"/>
        <v>2026</v>
      </c>
      <c r="L321" s="30">
        <f t="shared" si="5"/>
        <v>0</v>
      </c>
    </row>
    <row r="322" ht="15.75" customHeight="1">
      <c r="A322" s="113">
        <v>46160.0</v>
      </c>
      <c r="B322" s="43" t="s">
        <v>502</v>
      </c>
      <c r="C322" s="43" t="s">
        <v>7</v>
      </c>
      <c r="D322" s="30" t="str">
        <f>IF(C322&lt;&gt;"",VLOOKUP(C322,ENSEIGNES!$B$2:$D971,2,FALSE),"")</f>
        <v>Centrale</v>
      </c>
      <c r="E322" s="30" t="str">
        <f>IF(C322&lt;&gt;"",VLOOKUP(C322,ENSEIGNES!$B$2:$D971,3,FALSE),"")</f>
        <v>BROCARD</v>
      </c>
      <c r="F322" s="81">
        <v>275.72</v>
      </c>
      <c r="G322" s="32">
        <f t="shared" si="11"/>
        <v>290.8846</v>
      </c>
      <c r="H322" s="34">
        <f>IF(D322="Direct",PARAMETRES!$C$20,IF(D322="Centrale",PARAMETRES!$C$21,0))</f>
        <v>0.05</v>
      </c>
      <c r="I322" s="38">
        <f t="shared" si="2"/>
        <v>13.786</v>
      </c>
      <c r="J322" s="40">
        <f t="shared" si="3"/>
        <v>5</v>
      </c>
      <c r="K322" s="40">
        <f t="shared" si="4"/>
        <v>2026</v>
      </c>
      <c r="L322" s="30">
        <f t="shared" si="5"/>
        <v>0</v>
      </c>
    </row>
    <row r="323" ht="15.75" customHeight="1">
      <c r="A323" s="113">
        <v>46160.0</v>
      </c>
      <c r="B323" s="43" t="s">
        <v>503</v>
      </c>
      <c r="C323" s="43" t="s">
        <v>7</v>
      </c>
      <c r="D323" s="30" t="str">
        <f>IF(C323&lt;&gt;"",VLOOKUP(C323,ENSEIGNES!$B$2:$D971,2,FALSE),"")</f>
        <v>Centrale</v>
      </c>
      <c r="E323" s="30" t="str">
        <f>IF(C323&lt;&gt;"",VLOOKUP(C323,ENSEIGNES!$B$2:$D971,3,FALSE),"")</f>
        <v>BROCARD</v>
      </c>
      <c r="F323" s="81">
        <v>469.58</v>
      </c>
      <c r="G323" s="32">
        <f t="shared" si="11"/>
        <v>495.4069</v>
      </c>
      <c r="H323" s="34">
        <f>IF(D323="Direct",PARAMETRES!$C$20,IF(D323="Centrale",PARAMETRES!$C$21,0))</f>
        <v>0.05</v>
      </c>
      <c r="I323" s="38">
        <f t="shared" si="2"/>
        <v>23.479</v>
      </c>
      <c r="J323" s="40">
        <f t="shared" si="3"/>
        <v>5</v>
      </c>
      <c r="K323" s="40">
        <f t="shared" si="4"/>
        <v>2026</v>
      </c>
      <c r="L323" s="30">
        <f t="shared" si="5"/>
        <v>0</v>
      </c>
    </row>
    <row r="324" ht="15.75" customHeight="1">
      <c r="A324" s="113">
        <v>46160.0</v>
      </c>
      <c r="B324" s="43" t="s">
        <v>504</v>
      </c>
      <c r="C324" s="43" t="s">
        <v>7</v>
      </c>
      <c r="D324" s="30" t="str">
        <f>IF(C324&lt;&gt;"",VLOOKUP(C324,ENSEIGNES!$B$2:$D971,2,FALSE),"")</f>
        <v>Centrale</v>
      </c>
      <c r="E324" s="30" t="str">
        <f>IF(C324&lt;&gt;"",VLOOKUP(C324,ENSEIGNES!$B$2:$D971,3,FALSE),"")</f>
        <v>BROCARD</v>
      </c>
      <c r="F324" s="81">
        <v>262.79</v>
      </c>
      <c r="G324" s="32">
        <f t="shared" si="11"/>
        <v>277.24345</v>
      </c>
      <c r="H324" s="34">
        <f>IF(D324="Direct",PARAMETRES!$C$20,IF(D324="Centrale",PARAMETRES!$C$21,0))</f>
        <v>0.05</v>
      </c>
      <c r="I324" s="38">
        <f t="shared" si="2"/>
        <v>13.1395</v>
      </c>
      <c r="J324" s="40">
        <f t="shared" si="3"/>
        <v>5</v>
      </c>
      <c r="K324" s="40">
        <f t="shared" si="4"/>
        <v>2026</v>
      </c>
      <c r="L324" s="30">
        <f t="shared" si="5"/>
        <v>0</v>
      </c>
    </row>
    <row r="325" ht="15.75" customHeight="1">
      <c r="A325" s="113">
        <v>46162.0</v>
      </c>
      <c r="B325" s="43" t="s">
        <v>505</v>
      </c>
      <c r="C325" s="43" t="s">
        <v>7</v>
      </c>
      <c r="D325" s="30" t="str">
        <f>IF(C325&lt;&gt;"",VLOOKUP(C325,ENSEIGNES!$B$2:$D971,2,FALSE),"")</f>
        <v>Centrale</v>
      </c>
      <c r="E325" s="30" t="str">
        <f>IF(C325&lt;&gt;"",VLOOKUP(C325,ENSEIGNES!$B$2:$D971,3,FALSE),"")</f>
        <v>BROCARD</v>
      </c>
      <c r="F325" s="81">
        <v>482.5</v>
      </c>
      <c r="G325" s="32">
        <f t="shared" si="11"/>
        <v>509.0375</v>
      </c>
      <c r="H325" s="34">
        <f>IF(D325="Direct",PARAMETRES!$C$20,IF(D325="Centrale",PARAMETRES!$C$21,0))</f>
        <v>0.05</v>
      </c>
      <c r="I325" s="38">
        <f t="shared" si="2"/>
        <v>24.125</v>
      </c>
      <c r="J325" s="40">
        <f t="shared" si="3"/>
        <v>5</v>
      </c>
      <c r="K325" s="40">
        <f t="shared" si="4"/>
        <v>2026</v>
      </c>
      <c r="L325" s="30">
        <f t="shared" si="5"/>
        <v>0</v>
      </c>
    </row>
    <row r="326" ht="15.75" customHeight="1">
      <c r="A326" s="113">
        <v>46162.0</v>
      </c>
      <c r="B326" s="43" t="s">
        <v>506</v>
      </c>
      <c r="C326" s="43" t="s">
        <v>7</v>
      </c>
      <c r="D326" s="30" t="str">
        <f>IF(C326&lt;&gt;"",VLOOKUP(C326,ENSEIGNES!$B$2:$D971,2,FALSE),"")</f>
        <v>Centrale</v>
      </c>
      <c r="E326" s="30" t="str">
        <f>IF(C326&lt;&gt;"",VLOOKUP(C326,ENSEIGNES!$B$2:$D971,3,FALSE),"")</f>
        <v>BROCARD</v>
      </c>
      <c r="F326" s="81">
        <v>323.1</v>
      </c>
      <c r="G326" s="32">
        <f t="shared" si="11"/>
        <v>340.8705</v>
      </c>
      <c r="H326" s="34">
        <f>IF(D326="Direct",PARAMETRES!$C$20,IF(D326="Centrale",PARAMETRES!$C$21,0))</f>
        <v>0.05</v>
      </c>
      <c r="I326" s="38">
        <f t="shared" si="2"/>
        <v>16.155</v>
      </c>
      <c r="J326" s="40">
        <f t="shared" si="3"/>
        <v>5</v>
      </c>
      <c r="K326" s="40">
        <f t="shared" si="4"/>
        <v>2026</v>
      </c>
      <c r="L326" s="30">
        <f t="shared" si="5"/>
        <v>0</v>
      </c>
    </row>
    <row r="327" ht="15.75" customHeight="1">
      <c r="A327" s="113">
        <v>46162.0</v>
      </c>
      <c r="B327" s="43" t="s">
        <v>507</v>
      </c>
      <c r="C327" s="43" t="s">
        <v>7</v>
      </c>
      <c r="D327" s="30" t="str">
        <f>IF(C327&lt;&gt;"",VLOOKUP(C327,ENSEIGNES!$B$2:$D971,2,FALSE),"")</f>
        <v>Centrale</v>
      </c>
      <c r="E327" s="30" t="str">
        <f>IF(C327&lt;&gt;"",VLOOKUP(C327,ENSEIGNES!$B$2:$D971,3,FALSE),"")</f>
        <v>BROCARD</v>
      </c>
      <c r="F327" s="81">
        <v>228.33</v>
      </c>
      <c r="G327" s="32">
        <f t="shared" si="11"/>
        <v>240.88815</v>
      </c>
      <c r="H327" s="34">
        <f>IF(D327="Direct",PARAMETRES!$C$20,IF(D327="Centrale",PARAMETRES!$C$21,0))</f>
        <v>0.05</v>
      </c>
      <c r="I327" s="38">
        <f t="shared" si="2"/>
        <v>11.4165</v>
      </c>
      <c r="J327" s="40">
        <f t="shared" si="3"/>
        <v>5</v>
      </c>
      <c r="K327" s="40">
        <f t="shared" si="4"/>
        <v>2026</v>
      </c>
      <c r="L327" s="30">
        <f t="shared" si="5"/>
        <v>0</v>
      </c>
    </row>
    <row r="328" ht="15.75" customHeight="1">
      <c r="A328" s="113">
        <v>46164.0</v>
      </c>
      <c r="B328" s="43" t="s">
        <v>508</v>
      </c>
      <c r="C328" s="43" t="s">
        <v>7</v>
      </c>
      <c r="D328" s="30" t="str">
        <f>IF(C328&lt;&gt;"",VLOOKUP(C328,ENSEIGNES!$B$2:$D971,2,FALSE),"")</f>
        <v>Centrale</v>
      </c>
      <c r="E328" s="30" t="str">
        <f>IF(C328&lt;&gt;"",VLOOKUP(C328,ENSEIGNES!$B$2:$D971,3,FALSE),"")</f>
        <v>BROCARD</v>
      </c>
      <c r="F328" s="81">
        <v>280.02</v>
      </c>
      <c r="G328" s="32">
        <f t="shared" si="11"/>
        <v>295.4211</v>
      </c>
      <c r="H328" s="34">
        <f>IF(D328="Direct",PARAMETRES!$C$20,IF(D328="Centrale",PARAMETRES!$C$21,0))</f>
        <v>0.05</v>
      </c>
      <c r="I328" s="38">
        <f t="shared" si="2"/>
        <v>14.001</v>
      </c>
      <c r="J328" s="40">
        <f t="shared" si="3"/>
        <v>5</v>
      </c>
      <c r="K328" s="40">
        <f t="shared" si="4"/>
        <v>2026</v>
      </c>
      <c r="L328" s="30">
        <f t="shared" si="5"/>
        <v>0</v>
      </c>
    </row>
    <row r="329" ht="15.75" customHeight="1">
      <c r="A329" s="113">
        <v>46164.0</v>
      </c>
      <c r="B329" s="43" t="s">
        <v>509</v>
      </c>
      <c r="C329" s="43" t="s">
        <v>7</v>
      </c>
      <c r="D329" s="30" t="str">
        <f>IF(C329&lt;&gt;"",VLOOKUP(C329,ENSEIGNES!$B$2:$D971,2,FALSE),"")</f>
        <v>Centrale</v>
      </c>
      <c r="E329" s="30" t="str">
        <f>IF(C329&lt;&gt;"",VLOOKUP(C329,ENSEIGNES!$B$2:$D971,3,FALSE),"")</f>
        <v>BROCARD</v>
      </c>
      <c r="F329" s="81">
        <v>301.56</v>
      </c>
      <c r="G329" s="32">
        <f t="shared" si="11"/>
        <v>318.1458</v>
      </c>
      <c r="H329" s="34">
        <f>IF(D329="Direct",PARAMETRES!$C$20,IF(D329="Centrale",PARAMETRES!$C$21,0))</f>
        <v>0.05</v>
      </c>
      <c r="I329" s="38">
        <f t="shared" si="2"/>
        <v>15.078</v>
      </c>
      <c r="J329" s="40">
        <f t="shared" si="3"/>
        <v>5</v>
      </c>
      <c r="K329" s="40">
        <f t="shared" si="4"/>
        <v>2026</v>
      </c>
      <c r="L329" s="30">
        <f t="shared" si="5"/>
        <v>0</v>
      </c>
    </row>
    <row r="330" ht="15.75" customHeight="1">
      <c r="A330" s="113">
        <v>46169.0</v>
      </c>
      <c r="B330" s="43" t="s">
        <v>510</v>
      </c>
      <c r="C330" s="43" t="s">
        <v>7</v>
      </c>
      <c r="D330" s="30" t="str">
        <f>IF(C330&lt;&gt;"",VLOOKUP(C330,ENSEIGNES!$B$2:$D971,2,FALSE),"")</f>
        <v>Centrale</v>
      </c>
      <c r="E330" s="30" t="str">
        <f>IF(C330&lt;&gt;"",VLOOKUP(C330,ENSEIGNES!$B$2:$D971,3,FALSE),"")</f>
        <v>BROCARD</v>
      </c>
      <c r="F330" s="81">
        <v>366.18</v>
      </c>
      <c r="G330" s="32">
        <f t="shared" si="11"/>
        <v>386.3199</v>
      </c>
      <c r="H330" s="34">
        <f>IF(D330="Direct",PARAMETRES!$C$20,IF(D330="Centrale",PARAMETRES!$C$21,0))</f>
        <v>0.05</v>
      </c>
      <c r="I330" s="38">
        <f t="shared" si="2"/>
        <v>18.309</v>
      </c>
      <c r="J330" s="40">
        <f t="shared" si="3"/>
        <v>5</v>
      </c>
      <c r="K330" s="40">
        <f t="shared" si="4"/>
        <v>2026</v>
      </c>
      <c r="L330" s="30">
        <f t="shared" si="5"/>
        <v>0</v>
      </c>
    </row>
    <row r="331" ht="15.75" customHeight="1">
      <c r="A331" s="113">
        <v>46169.0</v>
      </c>
      <c r="B331" s="43" t="s">
        <v>511</v>
      </c>
      <c r="C331" s="43" t="s">
        <v>7</v>
      </c>
      <c r="D331" s="30" t="str">
        <f>IF(C331&lt;&gt;"",VLOOKUP(C331,ENSEIGNES!$B$2:$D971,2,FALSE),"")</f>
        <v>Centrale</v>
      </c>
      <c r="E331" s="30" t="str">
        <f>IF(C331&lt;&gt;"",VLOOKUP(C331,ENSEIGNES!$B$2:$D971,3,FALSE),"")</f>
        <v>BROCARD</v>
      </c>
      <c r="F331" s="81">
        <v>267.1</v>
      </c>
      <c r="G331" s="32">
        <f t="shared" si="11"/>
        <v>281.7905</v>
      </c>
      <c r="H331" s="34">
        <f>IF(D331="Direct",PARAMETRES!$C$20,IF(D331="Centrale",PARAMETRES!$C$21,0))</f>
        <v>0.05</v>
      </c>
      <c r="I331" s="38">
        <f t="shared" si="2"/>
        <v>13.355</v>
      </c>
      <c r="J331" s="40">
        <f t="shared" si="3"/>
        <v>5</v>
      </c>
      <c r="K331" s="40">
        <f t="shared" si="4"/>
        <v>2026</v>
      </c>
      <c r="L331" s="30">
        <f t="shared" si="5"/>
        <v>0</v>
      </c>
    </row>
    <row r="332" ht="15.75" customHeight="1">
      <c r="A332" s="113">
        <v>46169.0</v>
      </c>
      <c r="B332" s="43" t="s">
        <v>512</v>
      </c>
      <c r="C332" s="43" t="s">
        <v>7</v>
      </c>
      <c r="D332" s="30" t="str">
        <f>IF(C332&lt;&gt;"",VLOOKUP(C332,ENSEIGNES!$B$2:$D971,2,FALSE),"")</f>
        <v>Centrale</v>
      </c>
      <c r="E332" s="30" t="str">
        <f>IF(C332&lt;&gt;"",VLOOKUP(C332,ENSEIGNES!$B$2:$D971,3,FALSE),"")</f>
        <v>BROCARD</v>
      </c>
      <c r="F332" s="81">
        <v>232.64</v>
      </c>
      <c r="G332" s="32">
        <f t="shared" si="11"/>
        <v>245.4352</v>
      </c>
      <c r="H332" s="34">
        <f>IF(D332="Direct",PARAMETRES!$C$20,IF(D332="Centrale",PARAMETRES!$C$21,0))</f>
        <v>0.05</v>
      </c>
      <c r="I332" s="38">
        <f t="shared" si="2"/>
        <v>11.632</v>
      </c>
      <c r="J332" s="40">
        <f t="shared" si="3"/>
        <v>5</v>
      </c>
      <c r="K332" s="40">
        <f t="shared" si="4"/>
        <v>2026</v>
      </c>
      <c r="L332" s="30">
        <f t="shared" si="5"/>
        <v>0</v>
      </c>
    </row>
    <row r="333" ht="15.75" customHeight="1">
      <c r="A333" s="113">
        <v>46171.0</v>
      </c>
      <c r="B333" s="43" t="s">
        <v>513</v>
      </c>
      <c r="C333" s="43" t="s">
        <v>7</v>
      </c>
      <c r="D333" s="30" t="str">
        <f>IF(C333&lt;&gt;"",VLOOKUP(C333,ENSEIGNES!$B$2:$D971,2,FALSE),"")</f>
        <v>Centrale</v>
      </c>
      <c r="E333" s="30" t="str">
        <f>IF(C333&lt;&gt;"",VLOOKUP(C333,ENSEIGNES!$B$2:$D971,3,FALSE),"")</f>
        <v>BROCARD</v>
      </c>
      <c r="F333" s="81">
        <v>448.04</v>
      </c>
      <c r="G333" s="32">
        <f t="shared" si="11"/>
        <v>472.6822</v>
      </c>
      <c r="H333" s="34">
        <f>IF(D333="Direct",PARAMETRES!$C$20,IF(D333="Centrale",PARAMETRES!$C$21,0))</f>
        <v>0.05</v>
      </c>
      <c r="I333" s="38">
        <f t="shared" si="2"/>
        <v>22.402</v>
      </c>
      <c r="J333" s="40">
        <f t="shared" si="3"/>
        <v>5</v>
      </c>
      <c r="K333" s="40">
        <f t="shared" si="4"/>
        <v>2026</v>
      </c>
      <c r="L333" s="30">
        <f t="shared" si="5"/>
        <v>0</v>
      </c>
    </row>
    <row r="334" ht="15.75" customHeight="1">
      <c r="A334" s="113">
        <v>46174.0</v>
      </c>
      <c r="B334" s="43" t="s">
        <v>514</v>
      </c>
      <c r="C334" s="43" t="s">
        <v>91</v>
      </c>
      <c r="D334" s="30" t="str">
        <f>IF(C334&lt;&gt;"",VLOOKUP(C334,ENSEIGNES!$B$2:$D971,2,FALSE),"")</f>
        <v>Centrale</v>
      </c>
      <c r="E334" s="30" t="str">
        <f>IF(C334&lt;&gt;"",VLOOKUP(C334,ENSEIGNES!$B$2:$D971,3,FALSE),"")</f>
        <v>CAP FRAIS</v>
      </c>
      <c r="F334" s="81">
        <v>473.28</v>
      </c>
      <c r="G334" s="32">
        <f t="shared" si="11"/>
        <v>499.3104</v>
      </c>
      <c r="H334" s="34">
        <f>IF(D334="Direct",PARAMETRES!$C$20,IF(D334="Centrale",PARAMETRES!$C$21,0))</f>
        <v>0.05</v>
      </c>
      <c r="I334" s="38">
        <f t="shared" si="2"/>
        <v>23.664</v>
      </c>
      <c r="J334" s="40">
        <f t="shared" si="3"/>
        <v>6</v>
      </c>
      <c r="K334" s="40">
        <f t="shared" si="4"/>
        <v>2026</v>
      </c>
      <c r="L334" s="30">
        <f t="shared" si="5"/>
        <v>1</v>
      </c>
    </row>
    <row r="335" ht="15.75" customHeight="1">
      <c r="A335" s="113">
        <v>46176.0</v>
      </c>
      <c r="B335" s="43" t="s">
        <v>515</v>
      </c>
      <c r="C335" s="43" t="s">
        <v>91</v>
      </c>
      <c r="D335" s="30" t="str">
        <f>IF(C335&lt;&gt;"",VLOOKUP(C335,ENSEIGNES!$B$2:$D971,2,FALSE),"")</f>
        <v>Centrale</v>
      </c>
      <c r="E335" s="30" t="str">
        <f>IF(C335&lt;&gt;"",VLOOKUP(C335,ENSEIGNES!$B$2:$D971,3,FALSE),"")</f>
        <v>CAP FRAIS</v>
      </c>
      <c r="F335" s="81">
        <v>417.6</v>
      </c>
      <c r="G335" s="32">
        <f t="shared" si="11"/>
        <v>440.568</v>
      </c>
      <c r="H335" s="34">
        <f>IF(D335="Direct",PARAMETRES!$C$20,IF(D335="Centrale",PARAMETRES!$C$21,0))</f>
        <v>0.05</v>
      </c>
      <c r="I335" s="38">
        <f t="shared" si="2"/>
        <v>20.88</v>
      </c>
      <c r="J335" s="40">
        <f t="shared" si="3"/>
        <v>6</v>
      </c>
      <c r="K335" s="40">
        <f t="shared" si="4"/>
        <v>2026</v>
      </c>
      <c r="L335" s="30">
        <f t="shared" si="5"/>
        <v>0</v>
      </c>
    </row>
    <row r="336" ht="15.75" customHeight="1">
      <c r="A336" s="113">
        <v>46176.0</v>
      </c>
      <c r="B336" s="43" t="s">
        <v>516</v>
      </c>
      <c r="C336" s="43" t="s">
        <v>91</v>
      </c>
      <c r="D336" s="30" t="str">
        <f>IF(C336&lt;&gt;"",VLOOKUP(C336,ENSEIGNES!$B$2:$D971,2,FALSE),"")</f>
        <v>Centrale</v>
      </c>
      <c r="E336" s="30" t="str">
        <f>IF(C336&lt;&gt;"",VLOOKUP(C336,ENSEIGNES!$B$2:$D971,3,FALSE),"")</f>
        <v>CAP FRAIS</v>
      </c>
      <c r="F336" s="81">
        <v>445.44</v>
      </c>
      <c r="G336" s="32">
        <f t="shared" si="11"/>
        <v>469.9392</v>
      </c>
      <c r="H336" s="34">
        <f>IF(D336="Direct",PARAMETRES!$C$20,IF(D336="Centrale",PARAMETRES!$C$21,0))</f>
        <v>0.05</v>
      </c>
      <c r="I336" s="38">
        <f t="shared" si="2"/>
        <v>22.272</v>
      </c>
      <c r="J336" s="40">
        <f t="shared" si="3"/>
        <v>6</v>
      </c>
      <c r="K336" s="40">
        <f t="shared" si="4"/>
        <v>2026</v>
      </c>
      <c r="L336" s="30">
        <f t="shared" si="5"/>
        <v>0</v>
      </c>
    </row>
    <row r="337" ht="15.75" customHeight="1">
      <c r="A337" s="113">
        <v>46177.0</v>
      </c>
      <c r="B337" s="43" t="s">
        <v>517</v>
      </c>
      <c r="C337" s="43" t="s">
        <v>91</v>
      </c>
      <c r="D337" s="30" t="str">
        <f>IF(C337&lt;&gt;"",VLOOKUP(C337,ENSEIGNES!$B$2:$D971,2,FALSE),"")</f>
        <v>Centrale</v>
      </c>
      <c r="E337" s="30" t="str">
        <f>IF(C337&lt;&gt;"",VLOOKUP(C337,ENSEIGNES!$B$2:$D971,3,FALSE),"")</f>
        <v>CAP FRAIS</v>
      </c>
      <c r="F337" s="81">
        <v>408.32</v>
      </c>
      <c r="G337" s="32">
        <f t="shared" si="11"/>
        <v>430.7776</v>
      </c>
      <c r="H337" s="34">
        <f>IF(D337="Direct",PARAMETRES!$C$20,IF(D337="Centrale",PARAMETRES!$C$21,0))</f>
        <v>0.05</v>
      </c>
      <c r="I337" s="38">
        <f t="shared" si="2"/>
        <v>20.416</v>
      </c>
      <c r="J337" s="40">
        <f t="shared" si="3"/>
        <v>6</v>
      </c>
      <c r="K337" s="40">
        <f t="shared" si="4"/>
        <v>2026</v>
      </c>
      <c r="L337" s="30">
        <f t="shared" si="5"/>
        <v>0</v>
      </c>
    </row>
    <row r="338" ht="15.75" customHeight="1">
      <c r="A338" s="113">
        <v>46181.0</v>
      </c>
      <c r="B338" s="43" t="s">
        <v>518</v>
      </c>
      <c r="C338" s="43" t="s">
        <v>91</v>
      </c>
      <c r="D338" s="30" t="str">
        <f>IF(C338&lt;&gt;"",VLOOKUP(C338,ENSEIGNES!$B$2:$D971,2,FALSE),"")</f>
        <v>Centrale</v>
      </c>
      <c r="E338" s="30" t="str">
        <f>IF(C338&lt;&gt;"",VLOOKUP(C338,ENSEIGNES!$B$2:$D971,3,FALSE),"")</f>
        <v>CAP FRAIS</v>
      </c>
      <c r="F338" s="81">
        <v>487.2</v>
      </c>
      <c r="G338" s="32">
        <f t="shared" si="11"/>
        <v>513.996</v>
      </c>
      <c r="H338" s="34">
        <f>IF(D338="Direct",PARAMETRES!$C$20,IF(D338="Centrale",PARAMETRES!$C$21,0))</f>
        <v>0.05</v>
      </c>
      <c r="I338" s="38">
        <f t="shared" si="2"/>
        <v>24.36</v>
      </c>
      <c r="J338" s="40">
        <f t="shared" si="3"/>
        <v>6</v>
      </c>
      <c r="K338" s="40">
        <f t="shared" si="4"/>
        <v>2026</v>
      </c>
      <c r="L338" s="30">
        <f t="shared" si="5"/>
        <v>0</v>
      </c>
    </row>
    <row r="339" ht="15.75" customHeight="1">
      <c r="A339" s="113">
        <v>46181.0</v>
      </c>
      <c r="B339" s="43" t="s">
        <v>519</v>
      </c>
      <c r="C339" s="43" t="s">
        <v>91</v>
      </c>
      <c r="D339" s="30" t="str">
        <f>IF(C339&lt;&gt;"",VLOOKUP(C339,ENSEIGNES!$B$2:$D971,2,FALSE),"")</f>
        <v>Centrale</v>
      </c>
      <c r="E339" s="30" t="str">
        <f>IF(C339&lt;&gt;"",VLOOKUP(C339,ENSEIGNES!$B$2:$D971,3,FALSE),"")</f>
        <v>CAP FRAIS</v>
      </c>
      <c r="F339" s="81">
        <v>334.08</v>
      </c>
      <c r="G339" s="32">
        <f t="shared" si="11"/>
        <v>352.4544</v>
      </c>
      <c r="H339" s="34">
        <f>IF(D339="Direct",PARAMETRES!$C$20,IF(D339="Centrale",PARAMETRES!$C$21,0))</f>
        <v>0.05</v>
      </c>
      <c r="I339" s="38">
        <f t="shared" si="2"/>
        <v>16.704</v>
      </c>
      <c r="J339" s="40">
        <f t="shared" si="3"/>
        <v>6</v>
      </c>
      <c r="K339" s="40">
        <f t="shared" si="4"/>
        <v>2026</v>
      </c>
      <c r="L339" s="30">
        <f t="shared" si="5"/>
        <v>0</v>
      </c>
    </row>
    <row r="340" ht="15.75" customHeight="1">
      <c r="A340" s="113">
        <v>46181.0</v>
      </c>
      <c r="B340" s="43" t="s">
        <v>520</v>
      </c>
      <c r="C340" s="43" t="s">
        <v>91</v>
      </c>
      <c r="D340" s="30" t="str">
        <f>IF(C340&lt;&gt;"",VLOOKUP(C340,ENSEIGNES!$B$2:$D971,2,FALSE),"")</f>
        <v>Centrale</v>
      </c>
      <c r="E340" s="30" t="str">
        <f>IF(C340&lt;&gt;"",VLOOKUP(C340,ENSEIGNES!$B$2:$D971,3,FALSE),"")</f>
        <v>CAP FRAIS</v>
      </c>
      <c r="F340" s="81">
        <v>464.0</v>
      </c>
      <c r="G340" s="32">
        <f t="shared" si="11"/>
        <v>489.52</v>
      </c>
      <c r="H340" s="34">
        <f>IF(D340="Direct",PARAMETRES!$C$20,IF(D340="Centrale",PARAMETRES!$C$21,0))</f>
        <v>0.05</v>
      </c>
      <c r="I340" s="38">
        <f t="shared" si="2"/>
        <v>23.2</v>
      </c>
      <c r="J340" s="40">
        <f t="shared" si="3"/>
        <v>6</v>
      </c>
      <c r="K340" s="40">
        <f t="shared" si="4"/>
        <v>2026</v>
      </c>
      <c r="L340" s="30">
        <f t="shared" si="5"/>
        <v>0</v>
      </c>
    </row>
    <row r="341" ht="15.75" customHeight="1">
      <c r="A341" s="113">
        <v>46188.0</v>
      </c>
      <c r="B341" s="43" t="s">
        <v>521</v>
      </c>
      <c r="C341" s="43" t="s">
        <v>53</v>
      </c>
      <c r="D341" s="30" t="str">
        <f>IF(C341&lt;&gt;"",VLOOKUP(C341,ENSEIGNES!$B$2:$D971,2,FALSE),"")</f>
        <v>Direct</v>
      </c>
      <c r="E341" s="30" t="str">
        <f>IF(C341&lt;&gt;"",VLOOKUP(C341,ENSEIGNES!$B$2:$D971,3,FALSE),"")</f>
        <v>CAP FRAIS</v>
      </c>
      <c r="F341" s="81">
        <v>911.76</v>
      </c>
      <c r="G341" s="32">
        <f t="shared" si="11"/>
        <v>961.9068</v>
      </c>
      <c r="H341" s="34">
        <f>IF(D341="Direct",PARAMETRES!$C$20,IF(D341="Centrale",PARAMETRES!$C$21,0))</f>
        <v>0.07</v>
      </c>
      <c r="I341" s="38">
        <f t="shared" si="2"/>
        <v>63.8232</v>
      </c>
      <c r="J341" s="40">
        <f t="shared" si="3"/>
        <v>6</v>
      </c>
      <c r="K341" s="40">
        <f t="shared" si="4"/>
        <v>2026</v>
      </c>
      <c r="L341" s="30">
        <f t="shared" si="5"/>
        <v>1</v>
      </c>
    </row>
    <row r="342" ht="15.75" customHeight="1">
      <c r="A342" s="113">
        <v>46188.0</v>
      </c>
      <c r="B342" s="43" t="s">
        <v>522</v>
      </c>
      <c r="C342" s="43" t="s">
        <v>91</v>
      </c>
      <c r="D342" s="30" t="str">
        <f>IF(C342&lt;&gt;"",VLOOKUP(C342,ENSEIGNES!$B$2:$D971,2,FALSE),"")</f>
        <v>Centrale</v>
      </c>
      <c r="E342" s="30" t="str">
        <f>IF(C342&lt;&gt;"",VLOOKUP(C342,ENSEIGNES!$B$2:$D971,3,FALSE),"")</f>
        <v>CAP FRAIS</v>
      </c>
      <c r="F342" s="81">
        <v>334.08</v>
      </c>
      <c r="G342" s="32">
        <f t="shared" si="11"/>
        <v>352.4544</v>
      </c>
      <c r="H342" s="34">
        <f>IF(D342="Direct",PARAMETRES!$C$20,IF(D342="Centrale",PARAMETRES!$C$21,0))</f>
        <v>0.05</v>
      </c>
      <c r="I342" s="38">
        <f t="shared" si="2"/>
        <v>16.704</v>
      </c>
      <c r="J342" s="40">
        <f t="shared" si="3"/>
        <v>6</v>
      </c>
      <c r="K342" s="40">
        <f t="shared" si="4"/>
        <v>2026</v>
      </c>
      <c r="L342" s="30">
        <f t="shared" si="5"/>
        <v>0</v>
      </c>
    </row>
    <row r="343" ht="15.75" customHeight="1">
      <c r="A343" s="113">
        <v>46189.0</v>
      </c>
      <c r="B343" s="43" t="s">
        <v>523</v>
      </c>
      <c r="C343" s="43" t="s">
        <v>91</v>
      </c>
      <c r="D343" s="30" t="str">
        <f>IF(C343&lt;&gt;"",VLOOKUP(C343,ENSEIGNES!$B$2:$D971,2,FALSE),"")</f>
        <v>Centrale</v>
      </c>
      <c r="E343" s="30" t="str">
        <f>IF(C343&lt;&gt;"",VLOOKUP(C343,ENSEIGNES!$B$2:$D971,3,FALSE),"")</f>
        <v>CAP FRAIS</v>
      </c>
      <c r="F343" s="81">
        <v>408.32</v>
      </c>
      <c r="G343" s="32">
        <f t="shared" si="11"/>
        <v>430.7776</v>
      </c>
      <c r="H343" s="34">
        <f>IF(D343="Direct",PARAMETRES!$C$20,IF(D343="Centrale",PARAMETRES!$C$21,0))</f>
        <v>0.05</v>
      </c>
      <c r="I343" s="38">
        <f t="shared" si="2"/>
        <v>20.416</v>
      </c>
      <c r="J343" s="40">
        <f t="shared" si="3"/>
        <v>6</v>
      </c>
      <c r="K343" s="40">
        <f t="shared" si="4"/>
        <v>2026</v>
      </c>
      <c r="L343" s="30">
        <f t="shared" si="5"/>
        <v>0</v>
      </c>
    </row>
    <row r="344" ht="15.75" customHeight="1">
      <c r="A344" s="113">
        <v>46192.0</v>
      </c>
      <c r="B344" s="43" t="s">
        <v>524</v>
      </c>
      <c r="C344" s="43" t="s">
        <v>47</v>
      </c>
      <c r="D344" s="30" t="str">
        <f>IF(C344&lt;&gt;"",VLOOKUP(C344,ENSEIGNES!$B$2:$D971,2,FALSE),"")</f>
        <v>Direct</v>
      </c>
      <c r="E344" s="30" t="str">
        <f>IF(C344&lt;&gt;"",VLOOKUP(C344,ENSEIGNES!$B$2:$D971,3,FALSE),"")</f>
        <v>CAP FRAIS</v>
      </c>
      <c r="F344" s="81">
        <v>824.06</v>
      </c>
      <c r="G344" s="32">
        <f t="shared" si="11"/>
        <v>869.3833</v>
      </c>
      <c r="H344" s="34">
        <f>IF(D344="Direct",PARAMETRES!$C$20,IF(D344="Centrale",PARAMETRES!$C$21,0))</f>
        <v>0.07</v>
      </c>
      <c r="I344" s="38">
        <f t="shared" si="2"/>
        <v>57.6842</v>
      </c>
      <c r="J344" s="40">
        <f t="shared" si="3"/>
        <v>6</v>
      </c>
      <c r="K344" s="40">
        <f t="shared" si="4"/>
        <v>2026</v>
      </c>
      <c r="L344" s="30">
        <f t="shared" si="5"/>
        <v>1</v>
      </c>
    </row>
    <row r="345" ht="15.75" customHeight="1">
      <c r="A345" s="113">
        <v>46192.0</v>
      </c>
      <c r="B345" s="43" t="s">
        <v>525</v>
      </c>
      <c r="C345" s="43" t="s">
        <v>91</v>
      </c>
      <c r="D345" s="30" t="str">
        <f>IF(C345&lt;&gt;"",VLOOKUP(C345,ENSEIGNES!$B$2:$D971,2,FALSE),"")</f>
        <v>Centrale</v>
      </c>
      <c r="E345" s="30" t="str">
        <f>IF(C345&lt;&gt;"",VLOOKUP(C345,ENSEIGNES!$B$2:$D971,3,FALSE),"")</f>
        <v>CAP FRAIS</v>
      </c>
      <c r="F345" s="81">
        <v>408.32</v>
      </c>
      <c r="G345" s="32">
        <f t="shared" si="11"/>
        <v>430.7776</v>
      </c>
      <c r="H345" s="34">
        <f>IF(D345="Direct",PARAMETRES!$C$20,IF(D345="Centrale",PARAMETRES!$C$21,0))</f>
        <v>0.05</v>
      </c>
      <c r="I345" s="38">
        <f t="shared" si="2"/>
        <v>20.416</v>
      </c>
      <c r="J345" s="40">
        <f t="shared" si="3"/>
        <v>6</v>
      </c>
      <c r="K345" s="40">
        <f t="shared" si="4"/>
        <v>2026</v>
      </c>
      <c r="L345" s="30">
        <f t="shared" si="5"/>
        <v>0</v>
      </c>
    </row>
    <row r="346" ht="15.75" customHeight="1">
      <c r="A346" s="113">
        <v>46195.0</v>
      </c>
      <c r="B346" s="43" t="s">
        <v>526</v>
      </c>
      <c r="C346" s="43" t="s">
        <v>91</v>
      </c>
      <c r="D346" s="30" t="str">
        <f>IF(C346&lt;&gt;"",VLOOKUP(C346,ENSEIGNES!$B$2:$D971,2,FALSE),"")</f>
        <v>Centrale</v>
      </c>
      <c r="E346" s="30" t="str">
        <f>IF(C346&lt;&gt;"",VLOOKUP(C346,ENSEIGNES!$B$2:$D971,3,FALSE),"")</f>
        <v>CAP FRAIS</v>
      </c>
      <c r="F346" s="81">
        <v>412.96</v>
      </c>
      <c r="G346" s="32">
        <f t="shared" si="11"/>
        <v>435.6728</v>
      </c>
      <c r="H346" s="34">
        <f>IF(D346="Direct",PARAMETRES!$C$20,IF(D346="Centrale",PARAMETRES!$C$21,0))</f>
        <v>0.05</v>
      </c>
      <c r="I346" s="38">
        <f t="shared" si="2"/>
        <v>20.648</v>
      </c>
      <c r="J346" s="40">
        <f t="shared" si="3"/>
        <v>6</v>
      </c>
      <c r="K346" s="40">
        <f t="shared" si="4"/>
        <v>2026</v>
      </c>
      <c r="L346" s="30">
        <f t="shared" si="5"/>
        <v>0</v>
      </c>
    </row>
    <row r="347" ht="15.75" customHeight="1">
      <c r="A347" s="113">
        <v>46195.0</v>
      </c>
      <c r="B347" s="43" t="s">
        <v>527</v>
      </c>
      <c r="C347" s="43" t="s">
        <v>39</v>
      </c>
      <c r="D347" s="30" t="str">
        <f>IF(C347&lt;&gt;"",VLOOKUP(C347,ENSEIGNES!$B$2:$D971,2,FALSE),"")</f>
        <v>Direct</v>
      </c>
      <c r="E347" s="30" t="str">
        <f>IF(C347&lt;&gt;"",VLOOKUP(C347,ENSEIGNES!$B$2:$D971,3,FALSE),"")</f>
        <v>CAP FRAIS</v>
      </c>
      <c r="F347" s="81">
        <v>487.2</v>
      </c>
      <c r="G347" s="32">
        <f t="shared" si="11"/>
        <v>513.996</v>
      </c>
      <c r="H347" s="34">
        <f>IF(D347="Direct",PARAMETRES!$C$20,IF(D347="Centrale",PARAMETRES!$C$21,0))</f>
        <v>0.07</v>
      </c>
      <c r="I347" s="38">
        <f t="shared" si="2"/>
        <v>34.104</v>
      </c>
      <c r="J347" s="40">
        <f t="shared" si="3"/>
        <v>6</v>
      </c>
      <c r="K347" s="40">
        <f t="shared" si="4"/>
        <v>2026</v>
      </c>
      <c r="L347" s="30">
        <f t="shared" si="5"/>
        <v>1</v>
      </c>
    </row>
    <row r="348" ht="15.75" customHeight="1">
      <c r="A348" s="113">
        <v>46195.0</v>
      </c>
      <c r="B348" s="43" t="s">
        <v>528</v>
      </c>
      <c r="C348" s="43" t="s">
        <v>91</v>
      </c>
      <c r="D348" s="30" t="str">
        <f>IF(C348&lt;&gt;"",VLOOKUP(C348,ENSEIGNES!$B$2:$D971,2,FALSE),"")</f>
        <v>Centrale</v>
      </c>
      <c r="E348" s="30" t="str">
        <f>IF(C348&lt;&gt;"",VLOOKUP(C348,ENSEIGNES!$B$2:$D971,3,FALSE),"")</f>
        <v>CAP FRAIS</v>
      </c>
      <c r="F348" s="81">
        <v>440.8</v>
      </c>
      <c r="G348" s="32">
        <f t="shared" si="11"/>
        <v>465.044</v>
      </c>
      <c r="H348" s="34">
        <f>IF(D348="Direct",PARAMETRES!$C$20,IF(D348="Centrale",PARAMETRES!$C$21,0))</f>
        <v>0.05</v>
      </c>
      <c r="I348" s="38">
        <f t="shared" si="2"/>
        <v>22.04</v>
      </c>
      <c r="J348" s="40">
        <f t="shared" si="3"/>
        <v>6</v>
      </c>
      <c r="K348" s="40">
        <f t="shared" si="4"/>
        <v>2026</v>
      </c>
      <c r="L348" s="30">
        <f t="shared" si="5"/>
        <v>0</v>
      </c>
    </row>
    <row r="349" ht="15.75" customHeight="1">
      <c r="A349" s="113">
        <v>46197.0</v>
      </c>
      <c r="B349" s="43" t="s">
        <v>529</v>
      </c>
      <c r="C349" s="43" t="s">
        <v>86</v>
      </c>
      <c r="D349" s="30" t="str">
        <f>IF(C349&lt;&gt;"",VLOOKUP(C349,ENSEIGNES!$B$2:$D971,2,FALSE),"")</f>
        <v>Direct</v>
      </c>
      <c r="E349" s="30" t="str">
        <f>IF(C349&lt;&gt;"",VLOOKUP(C349,ENSEIGNES!$B$2:$D971,3,FALSE),"")</f>
        <v>CAP FRAIS</v>
      </c>
      <c r="F349" s="81">
        <v>366.79</v>
      </c>
      <c r="G349" s="32">
        <f t="shared" si="11"/>
        <v>386.96345</v>
      </c>
      <c r="H349" s="34">
        <f>IF(D349="Direct",PARAMETRES!$C$20,IF(D349="Centrale",PARAMETRES!$C$21,0))</f>
        <v>0.07</v>
      </c>
      <c r="I349" s="38">
        <f t="shared" si="2"/>
        <v>25.6753</v>
      </c>
      <c r="J349" s="40">
        <f t="shared" si="3"/>
        <v>6</v>
      </c>
      <c r="K349" s="40">
        <f t="shared" si="4"/>
        <v>2026</v>
      </c>
      <c r="L349" s="30">
        <f t="shared" si="5"/>
        <v>1</v>
      </c>
    </row>
    <row r="350" ht="15.75" customHeight="1">
      <c r="A350" s="113">
        <v>46198.0</v>
      </c>
      <c r="B350" s="43" t="s">
        <v>530</v>
      </c>
      <c r="C350" s="43" t="s">
        <v>91</v>
      </c>
      <c r="D350" s="30" t="str">
        <f>IF(C350&lt;&gt;"",VLOOKUP(C350,ENSEIGNES!$B$2:$D971,2,FALSE),"")</f>
        <v>Centrale</v>
      </c>
      <c r="E350" s="30" t="str">
        <f>IF(C350&lt;&gt;"",VLOOKUP(C350,ENSEIGNES!$B$2:$D971,3,FALSE),"")</f>
        <v>CAP FRAIS</v>
      </c>
      <c r="F350" s="81">
        <v>412.96</v>
      </c>
      <c r="G350" s="32">
        <f t="shared" si="11"/>
        <v>435.6728</v>
      </c>
      <c r="H350" s="34">
        <f>IF(D350="Direct",PARAMETRES!$C$20,IF(D350="Centrale",PARAMETRES!$C$21,0))</f>
        <v>0.05</v>
      </c>
      <c r="I350" s="38">
        <f t="shared" si="2"/>
        <v>20.648</v>
      </c>
      <c r="J350" s="40">
        <f t="shared" si="3"/>
        <v>6</v>
      </c>
      <c r="K350" s="40">
        <f t="shared" si="4"/>
        <v>2026</v>
      </c>
      <c r="L350" s="30">
        <f t="shared" si="5"/>
        <v>0</v>
      </c>
    </row>
    <row r="351" ht="15.75" customHeight="1">
      <c r="A351" s="113">
        <v>46174.0</v>
      </c>
      <c r="B351" s="43" t="s">
        <v>531</v>
      </c>
      <c r="C351" s="43" t="s">
        <v>7</v>
      </c>
      <c r="D351" s="30" t="str">
        <f>IF(C351&lt;&gt;"",VLOOKUP(C351,ENSEIGNES!$B$2:$D971,2,FALSE),"")</f>
        <v>Centrale</v>
      </c>
      <c r="E351" s="30" t="str">
        <f>IF(C351&lt;&gt;"",VLOOKUP(C351,ENSEIGNES!$B$2:$D971,3,FALSE),"")</f>
        <v>BROCARD</v>
      </c>
      <c r="F351" s="81">
        <v>315.27</v>
      </c>
      <c r="G351" s="32">
        <f t="shared" si="11"/>
        <v>332.60985</v>
      </c>
      <c r="H351" s="34">
        <f>IF(D351="Direct",PARAMETRES!$C$20,IF(D351="Centrale",PARAMETRES!$C$21,0))</f>
        <v>0.05</v>
      </c>
      <c r="I351" s="38">
        <f t="shared" si="2"/>
        <v>15.7635</v>
      </c>
      <c r="J351" s="40">
        <f t="shared" si="3"/>
        <v>6</v>
      </c>
      <c r="K351" s="40">
        <f t="shared" si="4"/>
        <v>2026</v>
      </c>
      <c r="L351" s="30">
        <f t="shared" si="5"/>
        <v>1</v>
      </c>
    </row>
    <row r="352" ht="15.75" customHeight="1">
      <c r="A352" s="113">
        <v>46174.0</v>
      </c>
      <c r="B352" s="43" t="s">
        <v>532</v>
      </c>
      <c r="C352" s="43" t="s">
        <v>7</v>
      </c>
      <c r="D352" s="30" t="str">
        <f>IF(C352&lt;&gt;"",VLOOKUP(C352,ENSEIGNES!$B$2:$D971,2,FALSE),"")</f>
        <v>Centrale</v>
      </c>
      <c r="E352" s="30" t="str">
        <f>IF(C352&lt;&gt;"",VLOOKUP(C352,ENSEIGNES!$B$2:$D971,3,FALSE),"")</f>
        <v>BROCARD</v>
      </c>
      <c r="F352" s="81">
        <v>280.02</v>
      </c>
      <c r="G352" s="32">
        <f t="shared" si="11"/>
        <v>295.4211</v>
      </c>
      <c r="H352" s="34">
        <f>IF(D352="Direct",PARAMETRES!$C$20,IF(D352="Centrale",PARAMETRES!$C$21,0))</f>
        <v>0.05</v>
      </c>
      <c r="I352" s="38">
        <f t="shared" si="2"/>
        <v>14.001</v>
      </c>
      <c r="J352" s="40">
        <f t="shared" si="3"/>
        <v>6</v>
      </c>
      <c r="K352" s="40">
        <f t="shared" si="4"/>
        <v>2026</v>
      </c>
      <c r="L352" s="30">
        <f t="shared" si="5"/>
        <v>0</v>
      </c>
    </row>
    <row r="353" ht="15.75" customHeight="1">
      <c r="A353" s="113">
        <v>46176.0</v>
      </c>
      <c r="B353" s="43" t="s">
        <v>533</v>
      </c>
      <c r="C353" s="43" t="s">
        <v>7</v>
      </c>
      <c r="D353" s="30" t="str">
        <f>IF(C353&lt;&gt;"",VLOOKUP(C353,ENSEIGNES!$B$2:$D971,2,FALSE),"")</f>
        <v>Centrale</v>
      </c>
      <c r="E353" s="30" t="str">
        <f>IF(C353&lt;&gt;"",VLOOKUP(C353,ENSEIGNES!$B$2:$D971,3,FALSE),"")</f>
        <v>BROCARD</v>
      </c>
      <c r="F353" s="81">
        <v>172.32</v>
      </c>
      <c r="G353" s="32">
        <f t="shared" si="11"/>
        <v>181.7976</v>
      </c>
      <c r="H353" s="34">
        <f>IF(D353="Direct",PARAMETRES!$C$20,IF(D353="Centrale",PARAMETRES!$C$21,0))</f>
        <v>0.05</v>
      </c>
      <c r="I353" s="38">
        <f t="shared" si="2"/>
        <v>8.616</v>
      </c>
      <c r="J353" s="40">
        <f t="shared" si="3"/>
        <v>6</v>
      </c>
      <c r="K353" s="40">
        <f t="shared" si="4"/>
        <v>2026</v>
      </c>
      <c r="L353" s="30">
        <f t="shared" si="5"/>
        <v>0</v>
      </c>
    </row>
    <row r="354" ht="15.75" customHeight="1">
      <c r="A354" s="113">
        <v>46176.0</v>
      </c>
      <c r="B354" s="43" t="s">
        <v>534</v>
      </c>
      <c r="C354" s="43" t="s">
        <v>7</v>
      </c>
      <c r="D354" s="30" t="str">
        <f>IF(C354&lt;&gt;"",VLOOKUP(C354,ENSEIGNES!$B$2:$D971,2,FALSE),"")</f>
        <v>Centrale</v>
      </c>
      <c r="E354" s="30" t="str">
        <f>IF(C354&lt;&gt;"",VLOOKUP(C354,ENSEIGNES!$B$2:$D971,3,FALSE),"")</f>
        <v>BROCARD</v>
      </c>
      <c r="F354" s="81">
        <v>275.72</v>
      </c>
      <c r="G354" s="32">
        <f t="shared" si="11"/>
        <v>290.8846</v>
      </c>
      <c r="H354" s="34">
        <f>IF(D354="Direct",PARAMETRES!$C$20,IF(D354="Centrale",PARAMETRES!$C$21,0))</f>
        <v>0.05</v>
      </c>
      <c r="I354" s="38">
        <f t="shared" si="2"/>
        <v>13.786</v>
      </c>
      <c r="J354" s="40">
        <f t="shared" si="3"/>
        <v>6</v>
      </c>
      <c r="K354" s="40">
        <f t="shared" si="4"/>
        <v>2026</v>
      </c>
      <c r="L354" s="30">
        <f t="shared" si="5"/>
        <v>0</v>
      </c>
    </row>
    <row r="355" ht="15.75" customHeight="1">
      <c r="A355" s="113">
        <v>46178.0</v>
      </c>
      <c r="B355" s="43" t="s">
        <v>535</v>
      </c>
      <c r="C355" s="43" t="s">
        <v>7</v>
      </c>
      <c r="D355" s="30" t="str">
        <f>IF(C355&lt;&gt;"",VLOOKUP(C355,ENSEIGNES!$B$2:$D971,2,FALSE),"")</f>
        <v>Centrale</v>
      </c>
      <c r="E355" s="30" t="str">
        <f>IF(C355&lt;&gt;"",VLOOKUP(C355,ENSEIGNES!$B$2:$D971,3,FALSE),"")</f>
        <v>BROCARD</v>
      </c>
      <c r="F355" s="81">
        <v>310.18</v>
      </c>
      <c r="G355" s="32">
        <f t="shared" si="11"/>
        <v>327.2399</v>
      </c>
      <c r="H355" s="34">
        <f>IF(D355="Direct",PARAMETRES!$C$20,IF(D355="Centrale",PARAMETRES!$C$21,0))</f>
        <v>0.05</v>
      </c>
      <c r="I355" s="38">
        <f t="shared" si="2"/>
        <v>15.509</v>
      </c>
      <c r="J355" s="40">
        <f t="shared" si="3"/>
        <v>6</v>
      </c>
      <c r="K355" s="40">
        <f t="shared" si="4"/>
        <v>2026</v>
      </c>
      <c r="L355" s="30">
        <f t="shared" si="5"/>
        <v>0</v>
      </c>
    </row>
    <row r="356" ht="15.75" customHeight="1">
      <c r="A356" s="113">
        <v>46178.0</v>
      </c>
      <c r="B356" s="43" t="s">
        <v>536</v>
      </c>
      <c r="C356" s="43" t="s">
        <v>7</v>
      </c>
      <c r="D356" s="30" t="str">
        <f>IF(C356&lt;&gt;"",VLOOKUP(C356,ENSEIGNES!$B$2:$D971,2,FALSE),"")</f>
        <v>Centrale</v>
      </c>
      <c r="E356" s="30" t="str">
        <f>IF(C356&lt;&gt;"",VLOOKUP(C356,ENSEIGNES!$B$2:$D971,3,FALSE),"")</f>
        <v>BROCARD</v>
      </c>
      <c r="F356" s="81">
        <v>469.58</v>
      </c>
      <c r="G356" s="32">
        <f t="shared" si="11"/>
        <v>495.4069</v>
      </c>
      <c r="H356" s="34">
        <f>IF(D356="Direct",PARAMETRES!$C$20,IF(D356="Centrale",PARAMETRES!$C$21,0))</f>
        <v>0.05</v>
      </c>
      <c r="I356" s="38">
        <f t="shared" si="2"/>
        <v>23.479</v>
      </c>
      <c r="J356" s="40">
        <f t="shared" si="3"/>
        <v>6</v>
      </c>
      <c r="K356" s="40">
        <f t="shared" si="4"/>
        <v>2026</v>
      </c>
      <c r="L356" s="30">
        <f t="shared" si="5"/>
        <v>0</v>
      </c>
    </row>
    <row r="357" ht="15.75" customHeight="1">
      <c r="A357" s="113">
        <v>46181.0</v>
      </c>
      <c r="B357" s="43" t="s">
        <v>537</v>
      </c>
      <c r="C357" s="43" t="s">
        <v>7</v>
      </c>
      <c r="D357" s="30" t="str">
        <f>IF(C357&lt;&gt;"",VLOOKUP(C357,ENSEIGNES!$B$2:$D971,2,FALSE),"")</f>
        <v>Centrale</v>
      </c>
      <c r="E357" s="30" t="str">
        <f>IF(C357&lt;&gt;"",VLOOKUP(C357,ENSEIGNES!$B$2:$D971,3,FALSE),"")</f>
        <v>BROCARD</v>
      </c>
      <c r="F357" s="81">
        <v>357.57</v>
      </c>
      <c r="G357" s="32">
        <f t="shared" si="11"/>
        <v>377.23635</v>
      </c>
      <c r="H357" s="34">
        <f>IF(D357="Direct",PARAMETRES!$C$20,IF(D357="Centrale",PARAMETRES!$C$21,0))</f>
        <v>0.05</v>
      </c>
      <c r="I357" s="38">
        <f t="shared" si="2"/>
        <v>17.8785</v>
      </c>
      <c r="J357" s="40">
        <f t="shared" si="3"/>
        <v>6</v>
      </c>
      <c r="K357" s="40">
        <f t="shared" si="4"/>
        <v>2026</v>
      </c>
      <c r="L357" s="30">
        <f t="shared" si="5"/>
        <v>0</v>
      </c>
    </row>
    <row r="358" ht="15.75" customHeight="1">
      <c r="A358" s="113">
        <v>46183.0</v>
      </c>
      <c r="B358" s="43" t="s">
        <v>538</v>
      </c>
      <c r="C358" s="43" t="s">
        <v>7</v>
      </c>
      <c r="D358" s="30" t="str">
        <f>IF(C358&lt;&gt;"",VLOOKUP(C358,ENSEIGNES!$B$2:$D971,2,FALSE),"")</f>
        <v>Centrale</v>
      </c>
      <c r="E358" s="30" t="str">
        <f>IF(C358&lt;&gt;"",VLOOKUP(C358,ENSEIGNES!$B$2:$D971,3,FALSE),"")</f>
        <v>BROCARD</v>
      </c>
      <c r="F358" s="81">
        <v>211.09</v>
      </c>
      <c r="G358" s="32">
        <f t="shared" si="11"/>
        <v>222.69995</v>
      </c>
      <c r="H358" s="34">
        <f>IF(D358="Direct",PARAMETRES!$C$20,IF(D358="Centrale",PARAMETRES!$C$21,0))</f>
        <v>0.05</v>
      </c>
      <c r="I358" s="38">
        <f t="shared" si="2"/>
        <v>10.5545</v>
      </c>
      <c r="J358" s="40">
        <f t="shared" si="3"/>
        <v>6</v>
      </c>
      <c r="K358" s="40">
        <f t="shared" si="4"/>
        <v>2026</v>
      </c>
      <c r="L358" s="30">
        <f t="shared" si="5"/>
        <v>0</v>
      </c>
    </row>
    <row r="359" ht="15.75" customHeight="1">
      <c r="A359" s="113">
        <v>46183.0</v>
      </c>
      <c r="B359" s="43" t="s">
        <v>539</v>
      </c>
      <c r="C359" s="43" t="s">
        <v>7</v>
      </c>
      <c r="D359" s="30" t="str">
        <f>IF(C359&lt;&gt;"",VLOOKUP(C359,ENSEIGNES!$B$2:$D971,2,FALSE),"")</f>
        <v>Centrale</v>
      </c>
      <c r="E359" s="30" t="str">
        <f>IF(C359&lt;&gt;"",VLOOKUP(C359,ENSEIGNES!$B$2:$D971,3,FALSE),"")</f>
        <v>BROCARD</v>
      </c>
      <c r="F359" s="81">
        <v>245.56</v>
      </c>
      <c r="G359" s="32">
        <f t="shared" si="11"/>
        <v>259.0658</v>
      </c>
      <c r="H359" s="34">
        <f>IF(D359="Direct",PARAMETRES!$C$20,IF(D359="Centrale",PARAMETRES!$C$21,0))</f>
        <v>0.05</v>
      </c>
      <c r="I359" s="38">
        <f t="shared" si="2"/>
        <v>12.278</v>
      </c>
      <c r="J359" s="40">
        <f t="shared" si="3"/>
        <v>6</v>
      </c>
      <c r="K359" s="40">
        <f t="shared" si="4"/>
        <v>2026</v>
      </c>
      <c r="L359" s="30">
        <f t="shared" si="5"/>
        <v>0</v>
      </c>
    </row>
    <row r="360" ht="15.75" customHeight="1">
      <c r="A360" s="113">
        <v>46183.0</v>
      </c>
      <c r="B360" s="43" t="s">
        <v>540</v>
      </c>
      <c r="C360" s="43" t="s">
        <v>7</v>
      </c>
      <c r="D360" s="30" t="str">
        <f>IF(C360&lt;&gt;"",VLOOKUP(C360,ENSEIGNES!$B$2:$D971,2,FALSE),"")</f>
        <v>Centrale</v>
      </c>
      <c r="E360" s="30" t="str">
        <f>IF(C360&lt;&gt;"",VLOOKUP(C360,ENSEIGNES!$B$2:$D971,3,FALSE),"")</f>
        <v>BROCARD</v>
      </c>
      <c r="F360" s="81">
        <v>478.19</v>
      </c>
      <c r="G360" s="32">
        <f t="shared" si="11"/>
        <v>504.49045</v>
      </c>
      <c r="H360" s="34">
        <f>IF(D360="Direct",PARAMETRES!$C$20,IF(D360="Centrale",PARAMETRES!$C$21,0))</f>
        <v>0.05</v>
      </c>
      <c r="I360" s="38">
        <f t="shared" si="2"/>
        <v>23.9095</v>
      </c>
      <c r="J360" s="40">
        <f t="shared" si="3"/>
        <v>6</v>
      </c>
      <c r="K360" s="40">
        <f t="shared" si="4"/>
        <v>2026</v>
      </c>
      <c r="L360" s="30">
        <f t="shared" si="5"/>
        <v>0</v>
      </c>
    </row>
    <row r="361" ht="15.75" customHeight="1">
      <c r="A361" s="113">
        <v>46185.0</v>
      </c>
      <c r="B361" s="43" t="s">
        <v>541</v>
      </c>
      <c r="C361" s="43" t="s">
        <v>7</v>
      </c>
      <c r="D361" s="30" t="str">
        <f>IF(C361&lt;&gt;"",VLOOKUP(C361,ENSEIGNES!$B$2:$D971,2,FALSE),"")</f>
        <v>Centrale</v>
      </c>
      <c r="E361" s="30" t="str">
        <f>IF(C361&lt;&gt;"",VLOOKUP(C361,ENSEIGNES!$B$2:$D971,3,FALSE),"")</f>
        <v>BROCARD</v>
      </c>
      <c r="F361" s="81">
        <v>344.64</v>
      </c>
      <c r="G361" s="32">
        <f t="shared" si="11"/>
        <v>363.5952</v>
      </c>
      <c r="H361" s="34">
        <f>IF(D361="Direct",PARAMETRES!$C$20,IF(D361="Centrale",PARAMETRES!$C$21,0))</f>
        <v>0.05</v>
      </c>
      <c r="I361" s="38">
        <f t="shared" si="2"/>
        <v>17.232</v>
      </c>
      <c r="J361" s="40">
        <f t="shared" si="3"/>
        <v>6</v>
      </c>
      <c r="K361" s="40">
        <f t="shared" si="4"/>
        <v>2026</v>
      </c>
      <c r="L361" s="30">
        <f t="shared" si="5"/>
        <v>0</v>
      </c>
    </row>
    <row r="362" ht="15.75" customHeight="1">
      <c r="A362" s="113">
        <v>46188.0</v>
      </c>
      <c r="B362" s="43" t="s">
        <v>542</v>
      </c>
      <c r="C362" s="43" t="s">
        <v>7</v>
      </c>
      <c r="D362" s="30" t="str">
        <f>IF(C362&lt;&gt;"",VLOOKUP(C362,ENSEIGNES!$B$2:$D971,2,FALSE),"")</f>
        <v>Centrale</v>
      </c>
      <c r="E362" s="30" t="str">
        <f>IF(C362&lt;&gt;"",VLOOKUP(C362,ENSEIGNES!$B$2:$D971,3,FALSE),"")</f>
        <v>BROCARD</v>
      </c>
      <c r="F362" s="81">
        <v>305.87</v>
      </c>
      <c r="G362" s="32">
        <f t="shared" si="11"/>
        <v>322.69285</v>
      </c>
      <c r="H362" s="34">
        <f>IF(D362="Direct",PARAMETRES!$C$20,IF(D362="Centrale",PARAMETRES!$C$21,0))</f>
        <v>0.05</v>
      </c>
      <c r="I362" s="38">
        <f t="shared" si="2"/>
        <v>15.2935</v>
      </c>
      <c r="J362" s="40">
        <f t="shared" si="3"/>
        <v>6</v>
      </c>
      <c r="K362" s="40">
        <f t="shared" si="4"/>
        <v>2026</v>
      </c>
      <c r="L362" s="30">
        <f t="shared" si="5"/>
        <v>0</v>
      </c>
    </row>
    <row r="363" ht="15.75" customHeight="1">
      <c r="A363" s="113">
        <v>46190.0</v>
      </c>
      <c r="B363" s="43" t="s">
        <v>543</v>
      </c>
      <c r="C363" s="43" t="s">
        <v>7</v>
      </c>
      <c r="D363" s="30" t="str">
        <f>IF(C363&lt;&gt;"",VLOOKUP(C363,ENSEIGNES!$B$2:$D971,2,FALSE),"")</f>
        <v>Centrale</v>
      </c>
      <c r="E363" s="30" t="str">
        <f>IF(C363&lt;&gt;"",VLOOKUP(C363,ENSEIGNES!$B$2:$D971,3,FALSE),"")</f>
        <v>BROCARD</v>
      </c>
      <c r="F363" s="81">
        <v>215.4</v>
      </c>
      <c r="G363" s="32">
        <f t="shared" si="11"/>
        <v>227.247</v>
      </c>
      <c r="H363" s="34">
        <f>IF(D363="Direct",PARAMETRES!$C$20,IF(D363="Centrale",PARAMETRES!$C$21,0))</f>
        <v>0.05</v>
      </c>
      <c r="I363" s="38">
        <f t="shared" si="2"/>
        <v>10.77</v>
      </c>
      <c r="J363" s="40">
        <f t="shared" si="3"/>
        <v>6</v>
      </c>
      <c r="K363" s="40">
        <f t="shared" si="4"/>
        <v>2026</v>
      </c>
      <c r="L363" s="30">
        <f t="shared" si="5"/>
        <v>0</v>
      </c>
    </row>
    <row r="364" ht="15.75" customHeight="1">
      <c r="A364" s="113">
        <v>46190.0</v>
      </c>
      <c r="B364" s="43" t="s">
        <v>544</v>
      </c>
      <c r="C364" s="43" t="s">
        <v>7</v>
      </c>
      <c r="D364" s="30" t="str">
        <f>IF(C364&lt;&gt;"",VLOOKUP(C364,ENSEIGNES!$B$2:$D971,2,FALSE),"")</f>
        <v>Centrale</v>
      </c>
      <c r="E364" s="30" t="str">
        <f>IF(C364&lt;&gt;"",VLOOKUP(C364,ENSEIGNES!$B$2:$D971,3,FALSE),"")</f>
        <v>BROCARD</v>
      </c>
      <c r="F364" s="81">
        <v>331.72</v>
      </c>
      <c r="G364" s="32">
        <f t="shared" si="11"/>
        <v>349.9646</v>
      </c>
      <c r="H364" s="34">
        <f>IF(D364="Direct",PARAMETRES!$C$20,IF(D364="Centrale",PARAMETRES!$C$21,0))</f>
        <v>0.05</v>
      </c>
      <c r="I364" s="38">
        <f t="shared" si="2"/>
        <v>16.586</v>
      </c>
      <c r="J364" s="40">
        <f t="shared" si="3"/>
        <v>6</v>
      </c>
      <c r="K364" s="40">
        <f t="shared" si="4"/>
        <v>2026</v>
      </c>
      <c r="L364" s="30">
        <f t="shared" si="5"/>
        <v>0</v>
      </c>
    </row>
    <row r="365" ht="15.75" customHeight="1">
      <c r="A365" s="113">
        <v>46190.0</v>
      </c>
      <c r="B365" s="43" t="s">
        <v>545</v>
      </c>
      <c r="C365" s="43" t="s">
        <v>7</v>
      </c>
      <c r="D365" s="30" t="str">
        <f>IF(C365&lt;&gt;"",VLOOKUP(C365,ENSEIGNES!$B$2:$D971,2,FALSE),"")</f>
        <v>Centrale</v>
      </c>
      <c r="E365" s="30" t="str">
        <f>IF(C365&lt;&gt;"",VLOOKUP(C365,ENSEIGNES!$B$2:$D971,3,FALSE),"")</f>
        <v>BROCARD</v>
      </c>
      <c r="F365" s="81">
        <v>448.04</v>
      </c>
      <c r="G365" s="32">
        <f t="shared" si="11"/>
        <v>472.6822</v>
      </c>
      <c r="H365" s="34">
        <f>IF(D365="Direct",PARAMETRES!$C$20,IF(D365="Centrale",PARAMETRES!$C$21,0))</f>
        <v>0.05</v>
      </c>
      <c r="I365" s="38">
        <f t="shared" si="2"/>
        <v>22.402</v>
      </c>
      <c r="J365" s="40">
        <f t="shared" si="3"/>
        <v>6</v>
      </c>
      <c r="K365" s="40">
        <f t="shared" si="4"/>
        <v>2026</v>
      </c>
      <c r="L365" s="30">
        <f t="shared" si="5"/>
        <v>0</v>
      </c>
    </row>
    <row r="366" ht="15.75" customHeight="1">
      <c r="A366" s="113">
        <v>46192.0</v>
      </c>
      <c r="B366" s="43" t="s">
        <v>546</v>
      </c>
      <c r="C366" s="43" t="s">
        <v>7</v>
      </c>
      <c r="D366" s="30" t="str">
        <f>IF(C366&lt;&gt;"",VLOOKUP(C366,ENSEIGNES!$B$2:$D971,2,FALSE),"")</f>
        <v>Centrale</v>
      </c>
      <c r="E366" s="30" t="str">
        <f>IF(C366&lt;&gt;"",VLOOKUP(C366,ENSEIGNES!$B$2:$D971,3,FALSE),"")</f>
        <v>BROCARD</v>
      </c>
      <c r="F366" s="81">
        <v>297.26</v>
      </c>
      <c r="G366" s="32">
        <f t="shared" si="11"/>
        <v>313.6093</v>
      </c>
      <c r="H366" s="34">
        <f>IF(D366="Direct",PARAMETRES!$C$20,IF(D366="Centrale",PARAMETRES!$C$21,0))</f>
        <v>0.05</v>
      </c>
      <c r="I366" s="38">
        <f t="shared" si="2"/>
        <v>14.863</v>
      </c>
      <c r="J366" s="40">
        <f t="shared" si="3"/>
        <v>6</v>
      </c>
      <c r="K366" s="40">
        <f t="shared" si="4"/>
        <v>2026</v>
      </c>
      <c r="L366" s="30">
        <f t="shared" si="5"/>
        <v>0</v>
      </c>
    </row>
    <row r="367" ht="15.75" customHeight="1">
      <c r="A367" s="113">
        <v>46197.0</v>
      </c>
      <c r="B367" s="43" t="s">
        <v>547</v>
      </c>
      <c r="C367" s="43" t="s">
        <v>7</v>
      </c>
      <c r="D367" s="30" t="str">
        <f>IF(C367&lt;&gt;"",VLOOKUP(C367,ENSEIGNES!$B$2:$D971,2,FALSE),"")</f>
        <v>Centrale</v>
      </c>
      <c r="E367" s="30" t="str">
        <f>IF(C367&lt;&gt;"",VLOOKUP(C367,ENSEIGNES!$B$2:$D971,3,FALSE),"")</f>
        <v>BROCARD</v>
      </c>
      <c r="F367" s="81">
        <v>280.02</v>
      </c>
      <c r="G367" s="32">
        <f t="shared" si="11"/>
        <v>295.4211</v>
      </c>
      <c r="H367" s="34">
        <f>IF(D367="Direct",PARAMETRES!$C$20,IF(D367="Centrale",PARAMETRES!$C$21,0))</f>
        <v>0.05</v>
      </c>
      <c r="I367" s="38">
        <f t="shared" si="2"/>
        <v>14.001</v>
      </c>
      <c r="J367" s="40">
        <f t="shared" si="3"/>
        <v>6</v>
      </c>
      <c r="K367" s="40">
        <f t="shared" si="4"/>
        <v>2026</v>
      </c>
      <c r="L367" s="30">
        <f t="shared" si="5"/>
        <v>0</v>
      </c>
    </row>
    <row r="368" ht="15.75" customHeight="1">
      <c r="A368" s="113">
        <v>46197.0</v>
      </c>
      <c r="B368" s="43" t="s">
        <v>548</v>
      </c>
      <c r="C368" s="43" t="s">
        <v>7</v>
      </c>
      <c r="D368" s="30" t="str">
        <f>IF(C368&lt;&gt;"",VLOOKUP(C368,ENSEIGNES!$B$2:$D971,2,FALSE),"")</f>
        <v>Centrale</v>
      </c>
      <c r="E368" s="30" t="str">
        <f>IF(C368&lt;&gt;"",VLOOKUP(C368,ENSEIGNES!$B$2:$D971,3,FALSE),"")</f>
        <v>BROCARD</v>
      </c>
      <c r="F368" s="81">
        <v>245.56</v>
      </c>
      <c r="G368" s="32">
        <f t="shared" si="11"/>
        <v>259.0658</v>
      </c>
      <c r="H368" s="34">
        <f>IF(D368="Direct",PARAMETRES!$C$20,IF(D368="Centrale",PARAMETRES!$C$21,0))</f>
        <v>0.05</v>
      </c>
      <c r="I368" s="38">
        <f t="shared" si="2"/>
        <v>12.278</v>
      </c>
      <c r="J368" s="40">
        <f t="shared" si="3"/>
        <v>6</v>
      </c>
      <c r="K368" s="40">
        <f t="shared" si="4"/>
        <v>2026</v>
      </c>
      <c r="L368" s="30">
        <f t="shared" si="5"/>
        <v>0</v>
      </c>
    </row>
    <row r="369" ht="15.75" customHeight="1">
      <c r="A369" s="113">
        <v>46197.0</v>
      </c>
      <c r="B369" s="43" t="s">
        <v>549</v>
      </c>
      <c r="C369" s="43" t="s">
        <v>7</v>
      </c>
      <c r="D369" s="30" t="str">
        <f>IF(C369&lt;&gt;"",VLOOKUP(C369,ENSEIGNES!$B$2:$D971,2,FALSE),"")</f>
        <v>Centrale</v>
      </c>
      <c r="E369" s="30" t="str">
        <f>IF(C369&lt;&gt;"",VLOOKUP(C369,ENSEIGNES!$B$2:$D971,3,FALSE),"")</f>
        <v>BROCARD</v>
      </c>
      <c r="F369" s="81">
        <v>762.53</v>
      </c>
      <c r="G369" s="32">
        <f t="shared" si="11"/>
        <v>804.46915</v>
      </c>
      <c r="H369" s="34">
        <f>IF(D369="Direct",PARAMETRES!$C$20,IF(D369="Centrale",PARAMETRES!$C$21,0))</f>
        <v>0.05</v>
      </c>
      <c r="I369" s="38">
        <f t="shared" si="2"/>
        <v>38.1265</v>
      </c>
      <c r="J369" s="40">
        <f t="shared" si="3"/>
        <v>6</v>
      </c>
      <c r="K369" s="40">
        <f t="shared" si="4"/>
        <v>2026</v>
      </c>
      <c r="L369" s="30">
        <f t="shared" si="5"/>
        <v>0</v>
      </c>
    </row>
    <row r="370" ht="15.75" customHeight="1">
      <c r="A370" s="113">
        <v>46199.0</v>
      </c>
      <c r="B370" s="43" t="s">
        <v>550</v>
      </c>
      <c r="C370" s="43" t="s">
        <v>7</v>
      </c>
      <c r="D370" s="30" t="str">
        <f>IF(C370&lt;&gt;"",VLOOKUP(C370,ENSEIGNES!$B$2:$D971,2,FALSE),"")</f>
        <v>Centrale</v>
      </c>
      <c r="E370" s="30" t="str">
        <f>IF(C370&lt;&gt;"",VLOOKUP(C370,ENSEIGNES!$B$2:$D971,3,FALSE),"")</f>
        <v>BROCARD</v>
      </c>
      <c r="F370" s="81">
        <v>361.88</v>
      </c>
      <c r="G370" s="32">
        <f t="shared" si="11"/>
        <v>381.7834</v>
      </c>
      <c r="H370" s="34">
        <f>IF(D370="Direct",PARAMETRES!$C$20,IF(D370="Centrale",PARAMETRES!$C$21,0))</f>
        <v>0.05</v>
      </c>
      <c r="I370" s="38">
        <f t="shared" si="2"/>
        <v>18.094</v>
      </c>
      <c r="J370" s="40">
        <f t="shared" si="3"/>
        <v>6</v>
      </c>
      <c r="K370" s="40">
        <f t="shared" si="4"/>
        <v>2026</v>
      </c>
      <c r="L370" s="30">
        <f t="shared" si="5"/>
        <v>0</v>
      </c>
    </row>
    <row r="371" ht="15.75" customHeight="1">
      <c r="A371" s="113">
        <v>46199.0</v>
      </c>
      <c r="B371" s="43" t="s">
        <v>551</v>
      </c>
      <c r="C371" s="43" t="s">
        <v>7</v>
      </c>
      <c r="D371" s="30" t="str">
        <f>IF(C371&lt;&gt;"",VLOOKUP(C371,ENSEIGNES!$B$2:$D971,2,FALSE),"")</f>
        <v>Centrale</v>
      </c>
      <c r="E371" s="30" t="str">
        <f>IF(C371&lt;&gt;"",VLOOKUP(C371,ENSEIGNES!$B$2:$D971,3,FALSE),"")</f>
        <v>BROCARD</v>
      </c>
      <c r="F371" s="81">
        <v>314.49</v>
      </c>
      <c r="G371" s="32">
        <f t="shared" si="11"/>
        <v>331.78695</v>
      </c>
      <c r="H371" s="34">
        <f>IF(D371="Direct",PARAMETRES!$C$20,IF(D371="Centrale",PARAMETRES!$C$21,0))</f>
        <v>0.05</v>
      </c>
      <c r="I371" s="38">
        <f t="shared" si="2"/>
        <v>15.7245</v>
      </c>
      <c r="J371" s="40">
        <f t="shared" si="3"/>
        <v>6</v>
      </c>
      <c r="K371" s="40">
        <f t="shared" si="4"/>
        <v>2026</v>
      </c>
      <c r="L371" s="30">
        <f t="shared" si="5"/>
        <v>0</v>
      </c>
    </row>
    <row r="372" ht="15.75" customHeight="1">
      <c r="A372" s="113">
        <v>46175.0</v>
      </c>
      <c r="B372" s="43" t="s">
        <v>552</v>
      </c>
      <c r="C372" s="43" t="s">
        <v>37</v>
      </c>
      <c r="D372" s="30" t="str">
        <f>IF(C372&lt;&gt;"",VLOOKUP(C372,ENSEIGNES!$B$2:$D971,2,FALSE),"")</f>
        <v>Centrale</v>
      </c>
      <c r="E372" s="30" t="str">
        <f>IF(C372&lt;&gt;"",VLOOKUP(C372,ENSEIGNES!$B$2:$D971,3,FALSE),"")</f>
        <v>CAP FRAIS</v>
      </c>
      <c r="F372" s="81">
        <v>318.8</v>
      </c>
      <c r="G372" s="32">
        <f t="shared" si="11"/>
        <v>336.334</v>
      </c>
      <c r="H372" s="34">
        <f>IF(D372="Direct",PARAMETRES!$C$20,IF(D372="Centrale",PARAMETRES!$C$21,0))</f>
        <v>0.05</v>
      </c>
      <c r="I372" s="38">
        <f t="shared" si="2"/>
        <v>15.94</v>
      </c>
      <c r="J372" s="40">
        <f t="shared" si="3"/>
        <v>6</v>
      </c>
      <c r="K372" s="40">
        <f t="shared" si="4"/>
        <v>2026</v>
      </c>
      <c r="L372" s="30">
        <f t="shared" si="5"/>
        <v>1</v>
      </c>
    </row>
    <row r="373" ht="15.75" customHeight="1">
      <c r="A373" s="113">
        <v>46184.0</v>
      </c>
      <c r="B373" s="43" t="s">
        <v>553</v>
      </c>
      <c r="C373" s="43" t="s">
        <v>37</v>
      </c>
      <c r="D373" s="30" t="str">
        <f>IF(C373&lt;&gt;"",VLOOKUP(C373,ENSEIGNES!$B$2:$D971,2,FALSE),"")</f>
        <v>Centrale</v>
      </c>
      <c r="E373" s="30" t="str">
        <f>IF(C373&lt;&gt;"",VLOOKUP(C373,ENSEIGNES!$B$2:$D971,3,FALSE),"")</f>
        <v>CAP FRAIS</v>
      </c>
      <c r="F373" s="81">
        <v>331.72</v>
      </c>
      <c r="G373" s="32">
        <f t="shared" si="11"/>
        <v>349.9646</v>
      </c>
      <c r="H373" s="34">
        <f>IF(D373="Direct",PARAMETRES!$C$20,IF(D373="Centrale",PARAMETRES!$C$21,0))</f>
        <v>0.05</v>
      </c>
      <c r="I373" s="38">
        <f t="shared" si="2"/>
        <v>16.586</v>
      </c>
      <c r="J373" s="40">
        <f t="shared" si="3"/>
        <v>6</v>
      </c>
      <c r="K373" s="40">
        <f t="shared" si="4"/>
        <v>2026</v>
      </c>
      <c r="L373" s="30">
        <f t="shared" si="5"/>
        <v>0</v>
      </c>
    </row>
    <row r="374" ht="15.75" customHeight="1">
      <c r="A374" s="113">
        <v>46177.0</v>
      </c>
      <c r="B374" s="43" t="s">
        <v>554</v>
      </c>
      <c r="C374" s="43" t="s">
        <v>37</v>
      </c>
      <c r="D374" s="30" t="str">
        <f>IF(C374&lt;&gt;"",VLOOKUP(C374,ENSEIGNES!$B$2:$D971,2,FALSE),"")</f>
        <v>Centrale</v>
      </c>
      <c r="E374" s="30" t="str">
        <f>IF(C374&lt;&gt;"",VLOOKUP(C374,ENSEIGNES!$B$2:$D971,3,FALSE),"")</f>
        <v>CAP FRAIS</v>
      </c>
      <c r="F374" s="81">
        <v>344.64</v>
      </c>
      <c r="G374" s="32">
        <f t="shared" si="11"/>
        <v>363.5952</v>
      </c>
      <c r="H374" s="34">
        <f>IF(D374="Direct",PARAMETRES!$C$20,IF(D374="Centrale",PARAMETRES!$C$21,0))</f>
        <v>0.05</v>
      </c>
      <c r="I374" s="38">
        <f t="shared" si="2"/>
        <v>17.232</v>
      </c>
      <c r="J374" s="40">
        <f t="shared" si="3"/>
        <v>6</v>
      </c>
      <c r="K374" s="40">
        <f t="shared" si="4"/>
        <v>2026</v>
      </c>
      <c r="L374" s="30">
        <f t="shared" si="5"/>
        <v>0</v>
      </c>
    </row>
    <row r="375" ht="15.75" customHeight="1">
      <c r="A375" s="113">
        <v>46191.0</v>
      </c>
      <c r="B375" s="43" t="s">
        <v>555</v>
      </c>
      <c r="C375" s="43" t="s">
        <v>37</v>
      </c>
      <c r="D375" s="30" t="str">
        <f>IF(C375&lt;&gt;"",VLOOKUP(C375,ENSEIGNES!$B$2:$D971,2,FALSE),"")</f>
        <v>Centrale</v>
      </c>
      <c r="E375" s="30" t="str">
        <f>IF(C375&lt;&gt;"",VLOOKUP(C375,ENSEIGNES!$B$2:$D971,3,FALSE),"")</f>
        <v>CAP FRAIS</v>
      </c>
      <c r="F375" s="81">
        <v>383.42</v>
      </c>
      <c r="G375" s="32">
        <f t="shared" si="11"/>
        <v>404.5081</v>
      </c>
      <c r="H375" s="34">
        <f>IF(D375="Direct",PARAMETRES!$C$20,IF(D375="Centrale",PARAMETRES!$C$21,0))</f>
        <v>0.05</v>
      </c>
      <c r="I375" s="38">
        <f t="shared" si="2"/>
        <v>19.171</v>
      </c>
      <c r="J375" s="40">
        <f t="shared" si="3"/>
        <v>6</v>
      </c>
      <c r="K375" s="40">
        <f t="shared" si="4"/>
        <v>2026</v>
      </c>
      <c r="L375" s="30">
        <f t="shared" si="5"/>
        <v>0</v>
      </c>
    </row>
    <row r="376" ht="15.75" customHeight="1">
      <c r="A376" s="113">
        <v>46189.0</v>
      </c>
      <c r="B376" s="43" t="s">
        <v>556</v>
      </c>
      <c r="C376" s="43" t="s">
        <v>37</v>
      </c>
      <c r="D376" s="30" t="str">
        <f>IF(C376&lt;&gt;"",VLOOKUP(C376,ENSEIGNES!$B$2:$D971,2,FALSE),"")</f>
        <v>Centrale</v>
      </c>
      <c r="E376" s="30" t="str">
        <f>IF(C376&lt;&gt;"",VLOOKUP(C376,ENSEIGNES!$B$2:$D971,3,FALSE),"")</f>
        <v>CAP FRAIS</v>
      </c>
      <c r="F376" s="81">
        <v>383.42</v>
      </c>
      <c r="G376" s="32">
        <f t="shared" si="11"/>
        <v>404.5081</v>
      </c>
      <c r="H376" s="34">
        <f>IF(D376="Direct",PARAMETRES!$C$20,IF(D376="Centrale",PARAMETRES!$C$21,0))</f>
        <v>0.05</v>
      </c>
      <c r="I376" s="38">
        <f t="shared" si="2"/>
        <v>19.171</v>
      </c>
      <c r="J376" s="40">
        <f t="shared" si="3"/>
        <v>6</v>
      </c>
      <c r="K376" s="40">
        <f t="shared" si="4"/>
        <v>2026</v>
      </c>
      <c r="L376" s="30">
        <f t="shared" si="5"/>
        <v>0</v>
      </c>
    </row>
    <row r="377" ht="15.75" customHeight="1">
      <c r="A377" s="113">
        <v>46182.0</v>
      </c>
      <c r="B377" s="43" t="s">
        <v>557</v>
      </c>
      <c r="C377" s="43" t="s">
        <v>37</v>
      </c>
      <c r="D377" s="30" t="str">
        <f>IF(C377&lt;&gt;"",VLOOKUP(C377,ENSEIGNES!$B$2:$D971,2,FALSE),"")</f>
        <v>Centrale</v>
      </c>
      <c r="E377" s="30" t="str">
        <f>IF(C377&lt;&gt;"",VLOOKUP(C377,ENSEIGNES!$B$2:$D971,3,FALSE),"")</f>
        <v>CAP FRAIS</v>
      </c>
      <c r="F377" s="81">
        <v>413.57</v>
      </c>
      <c r="G377" s="32">
        <f t="shared" si="11"/>
        <v>436.31635</v>
      </c>
      <c r="H377" s="34">
        <f>IF(D377="Direct",PARAMETRES!$C$20,IF(D377="Centrale",PARAMETRES!$C$21,0))</f>
        <v>0.05</v>
      </c>
      <c r="I377" s="38">
        <f t="shared" si="2"/>
        <v>20.6785</v>
      </c>
      <c r="J377" s="40">
        <f t="shared" si="3"/>
        <v>6</v>
      </c>
      <c r="K377" s="40">
        <f t="shared" si="4"/>
        <v>2026</v>
      </c>
      <c r="L377" s="30">
        <f t="shared" si="5"/>
        <v>0</v>
      </c>
    </row>
    <row r="378" ht="15.75" customHeight="1">
      <c r="A378" s="113">
        <v>46198.0</v>
      </c>
      <c r="B378" s="43" t="s">
        <v>558</v>
      </c>
      <c r="C378" s="43" t="s">
        <v>37</v>
      </c>
      <c r="D378" s="30" t="str">
        <f>IF(C378&lt;&gt;"",VLOOKUP(C378,ENSEIGNES!$B$2:$D971,2,FALSE),"")</f>
        <v>Centrale</v>
      </c>
      <c r="E378" s="30" t="str">
        <f>IF(C378&lt;&gt;"",VLOOKUP(C378,ENSEIGNES!$B$2:$D971,3,FALSE),"")</f>
        <v>CAP FRAIS</v>
      </c>
      <c r="F378" s="81">
        <v>538.51</v>
      </c>
      <c r="G378" s="32">
        <f t="shared" si="11"/>
        <v>568.12805</v>
      </c>
      <c r="H378" s="34">
        <f>IF(D378="Direct",PARAMETRES!$C$20,IF(D378="Centrale",PARAMETRES!$C$21,0))</f>
        <v>0.05</v>
      </c>
      <c r="I378" s="38">
        <f t="shared" si="2"/>
        <v>26.9255</v>
      </c>
      <c r="J378" s="40">
        <f t="shared" si="3"/>
        <v>6</v>
      </c>
      <c r="K378" s="40">
        <f t="shared" si="4"/>
        <v>2026</v>
      </c>
      <c r="L378" s="30">
        <f t="shared" si="5"/>
        <v>0</v>
      </c>
    </row>
    <row r="379" ht="15.75" customHeight="1">
      <c r="A379" s="113">
        <v>46203.0</v>
      </c>
      <c r="B379" s="43" t="s">
        <v>559</v>
      </c>
      <c r="C379" s="43" t="s">
        <v>92</v>
      </c>
      <c r="D379" s="30" t="str">
        <f>IF(C379&lt;&gt;"",VLOOKUP(C379,ENSEIGNES!$B$2:$D971,2,FALSE),"")</f>
        <v>Centrale</v>
      </c>
      <c r="E379" s="30" t="str">
        <f>IF(C379&lt;&gt;"",VLOOKUP(C379,ENSEIGNES!$B$2:$D971,3,FALSE),"")</f>
        <v>CAP FRAIS</v>
      </c>
      <c r="F379" s="81">
        <v>814.22</v>
      </c>
      <c r="G379" s="32">
        <f t="shared" si="11"/>
        <v>859.0021</v>
      </c>
      <c r="H379" s="34">
        <f>IF(D379="Direct",PARAMETRES!$C$20,IF(D379="Centrale",PARAMETRES!$C$21,0))</f>
        <v>0.05</v>
      </c>
      <c r="I379" s="38">
        <f t="shared" si="2"/>
        <v>40.711</v>
      </c>
      <c r="J379" s="40">
        <f t="shared" si="3"/>
        <v>6</v>
      </c>
      <c r="K379" s="40">
        <f t="shared" si="4"/>
        <v>2026</v>
      </c>
      <c r="L379" s="30">
        <f t="shared" si="5"/>
        <v>1</v>
      </c>
    </row>
    <row r="380" ht="15.75" customHeight="1">
      <c r="A380" s="113">
        <v>46196.0</v>
      </c>
      <c r="B380" s="43" t="s">
        <v>560</v>
      </c>
      <c r="C380" s="43" t="s">
        <v>92</v>
      </c>
      <c r="D380" s="30" t="str">
        <f>IF(C380&lt;&gt;"",VLOOKUP(C380,ENSEIGNES!$B$2:$D971,2,FALSE),"")</f>
        <v>Centrale</v>
      </c>
      <c r="E380" s="30" t="str">
        <f>IF(C380&lt;&gt;"",VLOOKUP(C380,ENSEIGNES!$B$2:$D971,3,FALSE),"")</f>
        <v>CAP FRAIS</v>
      </c>
      <c r="F380" s="81">
        <v>827.15</v>
      </c>
      <c r="G380" s="32">
        <f t="shared" si="11"/>
        <v>872.64325</v>
      </c>
      <c r="H380" s="34">
        <f>IF(D380="Direct",PARAMETRES!$C$20,IF(D380="Centrale",PARAMETRES!$C$21,0))</f>
        <v>0.05</v>
      </c>
      <c r="I380" s="38">
        <f t="shared" si="2"/>
        <v>41.3575</v>
      </c>
      <c r="J380" s="40">
        <f t="shared" si="3"/>
        <v>6</v>
      </c>
      <c r="K380" s="40">
        <f t="shared" si="4"/>
        <v>2026</v>
      </c>
      <c r="L380" s="30">
        <f t="shared" si="5"/>
        <v>0</v>
      </c>
    </row>
    <row r="381" ht="15.75" customHeight="1">
      <c r="A381" s="113">
        <v>46189.0</v>
      </c>
      <c r="B381" s="43" t="s">
        <v>561</v>
      </c>
      <c r="C381" s="43" t="s">
        <v>92</v>
      </c>
      <c r="D381" s="30" t="str">
        <f>IF(C381&lt;&gt;"",VLOOKUP(C381,ENSEIGNES!$B$2:$D971,2,FALSE),"")</f>
        <v>Centrale</v>
      </c>
      <c r="E381" s="30" t="str">
        <f>IF(C381&lt;&gt;"",VLOOKUP(C381,ENSEIGNES!$B$2:$D971,3,FALSE),"")</f>
        <v>CAP FRAIS</v>
      </c>
      <c r="F381" s="81">
        <v>383.42</v>
      </c>
      <c r="G381" s="32">
        <f t="shared" si="11"/>
        <v>404.5081</v>
      </c>
      <c r="H381" s="34">
        <f>IF(D381="Direct",PARAMETRES!$C$20,IF(D381="Centrale",PARAMETRES!$C$21,0))</f>
        <v>0.05</v>
      </c>
      <c r="I381" s="38">
        <f t="shared" si="2"/>
        <v>19.171</v>
      </c>
      <c r="J381" s="40">
        <f t="shared" si="3"/>
        <v>6</v>
      </c>
      <c r="K381" s="40">
        <f t="shared" si="4"/>
        <v>2026</v>
      </c>
      <c r="L381" s="30">
        <f t="shared" si="5"/>
        <v>0</v>
      </c>
    </row>
    <row r="382" ht="15.75" customHeight="1">
      <c r="A382" s="113">
        <v>46197.0</v>
      </c>
      <c r="B382" s="43" t="s">
        <v>562</v>
      </c>
      <c r="C382" s="43" t="s">
        <v>93</v>
      </c>
      <c r="D382" s="30" t="str">
        <f>IF(C382&lt;&gt;"",VLOOKUP(C382,ENSEIGNES!$B$2:$D971,2,FALSE),"")</f>
        <v>Centrale</v>
      </c>
      <c r="E382" s="30" t="str">
        <f>IF(C382&lt;&gt;"",VLOOKUP(C382,ENSEIGNES!$B$2:$D971,3,FALSE),"")</f>
        <v>CAP FRAIS</v>
      </c>
      <c r="F382" s="81">
        <v>379.13</v>
      </c>
      <c r="G382" s="32">
        <f t="shared" si="11"/>
        <v>399.98215</v>
      </c>
      <c r="H382" s="34">
        <f>IF(D382="Direct",PARAMETRES!$C$20,IF(D382="Centrale",PARAMETRES!$C$21,0))</f>
        <v>0.05</v>
      </c>
      <c r="I382" s="38">
        <f t="shared" si="2"/>
        <v>18.9565</v>
      </c>
      <c r="J382" s="40">
        <f t="shared" si="3"/>
        <v>6</v>
      </c>
      <c r="K382" s="40">
        <f t="shared" si="4"/>
        <v>2026</v>
      </c>
      <c r="L382" s="30">
        <f t="shared" si="5"/>
        <v>1</v>
      </c>
    </row>
    <row r="383" ht="15.75" customHeight="1">
      <c r="A383" s="113">
        <v>46192.0</v>
      </c>
      <c r="B383" s="43" t="s">
        <v>563</v>
      </c>
      <c r="C383" s="43" t="s">
        <v>93</v>
      </c>
      <c r="D383" s="30" t="str">
        <f>IF(C383&lt;&gt;"",VLOOKUP(C383,ENSEIGNES!$B$2:$D971,2,FALSE),"")</f>
        <v>Centrale</v>
      </c>
      <c r="E383" s="30" t="str">
        <f>IF(C383&lt;&gt;"",VLOOKUP(C383,ENSEIGNES!$B$2:$D971,3,FALSE),"")</f>
        <v>CAP FRAIS</v>
      </c>
      <c r="F383" s="81">
        <v>596.92</v>
      </c>
      <c r="G383" s="32">
        <f t="shared" si="11"/>
        <v>629.7506</v>
      </c>
      <c r="H383" s="34">
        <f>IF(D383="Direct",PARAMETRES!$C$20,IF(D383="Centrale",PARAMETRES!$C$21,0))</f>
        <v>0.05</v>
      </c>
      <c r="I383" s="38">
        <f t="shared" si="2"/>
        <v>29.846</v>
      </c>
      <c r="J383" s="40">
        <f t="shared" si="3"/>
        <v>6</v>
      </c>
      <c r="K383" s="40">
        <f t="shared" si="4"/>
        <v>2026</v>
      </c>
      <c r="L383" s="30">
        <f t="shared" si="5"/>
        <v>0</v>
      </c>
    </row>
    <row r="384" ht="15.75" customHeight="1">
      <c r="A384" s="113">
        <v>46185.0</v>
      </c>
      <c r="B384" s="43" t="s">
        <v>564</v>
      </c>
      <c r="C384" s="43" t="s">
        <v>93</v>
      </c>
      <c r="D384" s="30" t="str">
        <f>IF(C384&lt;&gt;"",VLOOKUP(C384,ENSEIGNES!$B$2:$D971,2,FALSE),"")</f>
        <v>Centrale</v>
      </c>
      <c r="E384" s="30" t="str">
        <f>IF(C384&lt;&gt;"",VLOOKUP(C384,ENSEIGNES!$B$2:$D971,3,FALSE),"")</f>
        <v>CAP FRAIS</v>
      </c>
      <c r="F384" s="81">
        <v>395.26</v>
      </c>
      <c r="G384" s="32">
        <f t="shared" si="11"/>
        <v>416.9993</v>
      </c>
      <c r="H384" s="34">
        <f>IF(D384="Direct",PARAMETRES!$C$20,IF(D384="Centrale",PARAMETRES!$C$21,0))</f>
        <v>0.05</v>
      </c>
      <c r="I384" s="38">
        <f t="shared" si="2"/>
        <v>19.763</v>
      </c>
      <c r="J384" s="40">
        <f t="shared" si="3"/>
        <v>6</v>
      </c>
      <c r="K384" s="40">
        <f t="shared" si="4"/>
        <v>2026</v>
      </c>
      <c r="L384" s="30">
        <f t="shared" si="5"/>
        <v>0</v>
      </c>
    </row>
    <row r="385" ht="15.75" customHeight="1">
      <c r="A385" s="113">
        <v>46204.0</v>
      </c>
      <c r="B385" s="43" t="s">
        <v>565</v>
      </c>
      <c r="C385" s="43" t="s">
        <v>91</v>
      </c>
      <c r="D385" s="30" t="str">
        <f>IF(C385&lt;&gt;"",VLOOKUP(C385,ENSEIGNES!$B$2:$D971,2,FALSE),"")</f>
        <v>Centrale</v>
      </c>
      <c r="E385" s="30" t="str">
        <f>IF(C385&lt;&gt;"",VLOOKUP(C385,ENSEIGNES!$B$2:$D971,3,FALSE),"")</f>
        <v>CAP FRAIS</v>
      </c>
      <c r="F385" s="81">
        <v>436.16</v>
      </c>
      <c r="G385" s="32">
        <f t="shared" si="11"/>
        <v>460.1488</v>
      </c>
      <c r="H385" s="34">
        <f>IF(D385="Direct",PARAMETRES!$C$20,IF(D385="Centrale",PARAMETRES!$C$21,0))</f>
        <v>0.05</v>
      </c>
      <c r="I385" s="38">
        <f t="shared" si="2"/>
        <v>21.808</v>
      </c>
      <c r="J385" s="40">
        <f t="shared" si="3"/>
        <v>7</v>
      </c>
      <c r="K385" s="40">
        <f t="shared" si="4"/>
        <v>2026</v>
      </c>
      <c r="L385" s="30">
        <f t="shared" si="5"/>
        <v>1</v>
      </c>
    </row>
    <row r="386" ht="15.75" customHeight="1">
      <c r="A386" s="113">
        <v>46204.0</v>
      </c>
      <c r="B386" s="43" t="s">
        <v>566</v>
      </c>
      <c r="C386" s="43" t="s">
        <v>94</v>
      </c>
      <c r="D386" s="30" t="str">
        <f>IF(C386&lt;&gt;"",VLOOKUP(C386,ENSEIGNES!$B$2:$D971,2,FALSE),"")</f>
        <v>Direct</v>
      </c>
      <c r="E386" s="30" t="str">
        <f>IF(C386&lt;&gt;"",VLOOKUP(C386,ENSEIGNES!$B$2:$D971,3,FALSE),"")</f>
        <v>CAP FRAIS</v>
      </c>
      <c r="F386" s="81">
        <v>406.23</v>
      </c>
      <c r="G386" s="32">
        <f t="shared" si="11"/>
        <v>428.57265</v>
      </c>
      <c r="H386" s="34">
        <f>IF(D386="Direct",PARAMETRES!$C$20,IF(D386="Centrale",PARAMETRES!$C$21,0))</f>
        <v>0.07</v>
      </c>
      <c r="I386" s="38">
        <f t="shared" si="2"/>
        <v>28.4361</v>
      </c>
      <c r="J386" s="40">
        <f t="shared" si="3"/>
        <v>7</v>
      </c>
      <c r="K386" s="40">
        <f t="shared" si="4"/>
        <v>2026</v>
      </c>
      <c r="L386" s="30">
        <f t="shared" si="5"/>
        <v>1</v>
      </c>
    </row>
    <row r="387" ht="15.75" customHeight="1">
      <c r="A387" s="113">
        <v>46206.0</v>
      </c>
      <c r="B387" s="43" t="s">
        <v>567</v>
      </c>
      <c r="C387" s="43" t="s">
        <v>95</v>
      </c>
      <c r="D387" s="30" t="str">
        <f>IF(C387&lt;&gt;"",VLOOKUP(C387,ENSEIGNES!$B$2:$D971,2,FALSE),"")</f>
        <v>Direct</v>
      </c>
      <c r="E387" s="30" t="str">
        <f>IF(C387&lt;&gt;"",VLOOKUP(C387,ENSEIGNES!$B$2:$D971,3,FALSE),"")</f>
        <v>CAP FRAIS</v>
      </c>
      <c r="F387" s="81">
        <v>425.95</v>
      </c>
      <c r="G387" s="32">
        <f t="shared" si="11"/>
        <v>449.37725</v>
      </c>
      <c r="H387" s="34">
        <f>IF(D387="Direct",PARAMETRES!$C$20,IF(D387="Centrale",PARAMETRES!$C$21,0))</f>
        <v>0.07</v>
      </c>
      <c r="I387" s="38">
        <f t="shared" si="2"/>
        <v>29.8165</v>
      </c>
      <c r="J387" s="40">
        <f t="shared" si="3"/>
        <v>7</v>
      </c>
      <c r="K387" s="40">
        <f t="shared" si="4"/>
        <v>2026</v>
      </c>
      <c r="L387" s="30">
        <f t="shared" si="5"/>
        <v>1</v>
      </c>
    </row>
    <row r="388" ht="15.75" customHeight="1">
      <c r="A388" s="113">
        <v>46220.0</v>
      </c>
      <c r="B388" s="43" t="s">
        <v>568</v>
      </c>
      <c r="C388" s="43" t="s">
        <v>97</v>
      </c>
      <c r="D388" s="30" t="str">
        <f>IF(C388&lt;&gt;"",VLOOKUP(C388,ENSEIGNES!$B$2:$D971,2,FALSE),"")</f>
        <v>Direct</v>
      </c>
      <c r="E388" s="30" t="str">
        <f>IF(C388&lt;&gt;"",VLOOKUP(C388,ENSEIGNES!$B$2:$D971,3,FALSE),"")</f>
        <v>CAP FRAIS</v>
      </c>
      <c r="F388" s="81">
        <v>501.12</v>
      </c>
      <c r="G388" s="32">
        <f t="shared" si="11"/>
        <v>528.6816</v>
      </c>
      <c r="H388" s="34">
        <f>IF(D388="Direct",PARAMETRES!$C$20,IF(D388="Centrale",PARAMETRES!$C$21,0))</f>
        <v>0.07</v>
      </c>
      <c r="I388" s="38">
        <f t="shared" si="2"/>
        <v>35.0784</v>
      </c>
      <c r="J388" s="40">
        <f t="shared" si="3"/>
        <v>7</v>
      </c>
      <c r="K388" s="40">
        <f t="shared" si="4"/>
        <v>2026</v>
      </c>
      <c r="L388" s="30">
        <f t="shared" si="5"/>
        <v>1</v>
      </c>
    </row>
    <row r="389" ht="15.75" customHeight="1">
      <c r="A389" s="113">
        <v>46220.0</v>
      </c>
      <c r="B389" s="43" t="s">
        <v>569</v>
      </c>
      <c r="C389" s="43" t="s">
        <v>98</v>
      </c>
      <c r="D389" s="30" t="str">
        <f>IF(C389&lt;&gt;"",VLOOKUP(C389,ENSEIGNES!$B$2:$D971,2,FALSE),"")</f>
        <v>Direct</v>
      </c>
      <c r="E389" s="30" t="str">
        <f>IF(C389&lt;&gt;"",VLOOKUP(C389,ENSEIGNES!$B$2:$D971,3,FALSE),"")</f>
        <v>CAP FRAIS</v>
      </c>
      <c r="F389" s="81">
        <v>501.12</v>
      </c>
      <c r="G389" s="32">
        <f t="shared" si="11"/>
        <v>528.6816</v>
      </c>
      <c r="H389" s="34">
        <f>IF(D389="Direct",PARAMETRES!$C$20,IF(D389="Centrale",PARAMETRES!$C$21,0))</f>
        <v>0.07</v>
      </c>
      <c r="I389" s="38">
        <f t="shared" si="2"/>
        <v>35.0784</v>
      </c>
      <c r="J389" s="40">
        <f t="shared" si="3"/>
        <v>7</v>
      </c>
      <c r="K389" s="40">
        <f t="shared" si="4"/>
        <v>2026</v>
      </c>
      <c r="L389" s="30">
        <f t="shared" si="5"/>
        <v>1</v>
      </c>
    </row>
    <row r="390" ht="15.75" customHeight="1">
      <c r="A390" s="113">
        <v>46220.0</v>
      </c>
      <c r="B390" s="43" t="s">
        <v>570</v>
      </c>
      <c r="C390" s="43" t="s">
        <v>99</v>
      </c>
      <c r="D390" s="30" t="str">
        <f>IF(C390&lt;&gt;"",VLOOKUP(C390,ENSEIGNES!$B$2:$D971,2,FALSE),"")</f>
        <v>Direct</v>
      </c>
      <c r="E390" s="30" t="str">
        <f>IF(C390&lt;&gt;"",VLOOKUP(C390,ENSEIGNES!$B$2:$D971,3,FALSE),"")</f>
        <v>CAP FRAIS</v>
      </c>
      <c r="F390" s="81">
        <v>501.12</v>
      </c>
      <c r="G390" s="32">
        <f t="shared" si="11"/>
        <v>528.6816</v>
      </c>
      <c r="H390" s="34">
        <f>IF(D390="Direct",PARAMETRES!$C$20,IF(D390="Centrale",PARAMETRES!$C$21,0))</f>
        <v>0.07</v>
      </c>
      <c r="I390" s="38">
        <f t="shared" si="2"/>
        <v>35.0784</v>
      </c>
      <c r="J390" s="40">
        <f t="shared" si="3"/>
        <v>7</v>
      </c>
      <c r="K390" s="40">
        <f t="shared" si="4"/>
        <v>2026</v>
      </c>
      <c r="L390" s="30">
        <f t="shared" si="5"/>
        <v>1</v>
      </c>
    </row>
    <row r="391" ht="15.75" customHeight="1">
      <c r="A391" s="113">
        <v>46220.0</v>
      </c>
      <c r="B391" s="43" t="s">
        <v>571</v>
      </c>
      <c r="C391" s="43" t="s">
        <v>94</v>
      </c>
      <c r="D391" s="30" t="str">
        <f>IF(C391&lt;&gt;"",VLOOKUP(C391,ENSEIGNES!$B$2:$D971,2,FALSE),"")</f>
        <v>Direct</v>
      </c>
      <c r="E391" s="30" t="str">
        <f>IF(C391&lt;&gt;"",VLOOKUP(C391,ENSEIGNES!$B$2:$D971,3,FALSE),"")</f>
        <v>CAP FRAIS</v>
      </c>
      <c r="F391" s="81">
        <v>477.92</v>
      </c>
      <c r="G391" s="32">
        <f t="shared" si="11"/>
        <v>504.2056</v>
      </c>
      <c r="H391" s="34">
        <f>IF(D391="Direct",PARAMETRES!$C$20,IF(D391="Centrale",PARAMETRES!$C$21,0))</f>
        <v>0.07</v>
      </c>
      <c r="I391" s="38">
        <f t="shared" si="2"/>
        <v>33.4544</v>
      </c>
      <c r="J391" s="40">
        <f t="shared" si="3"/>
        <v>7</v>
      </c>
      <c r="K391" s="40">
        <f t="shared" si="4"/>
        <v>2026</v>
      </c>
      <c r="L391" s="30">
        <f t="shared" si="5"/>
        <v>0</v>
      </c>
    </row>
    <row r="392" ht="15.75" customHeight="1">
      <c r="A392" s="113">
        <v>46224.0</v>
      </c>
      <c r="B392" s="43" t="s">
        <v>572</v>
      </c>
      <c r="C392" s="43" t="s">
        <v>91</v>
      </c>
      <c r="D392" s="30" t="str">
        <f>IF(C392&lt;&gt;"",VLOOKUP(C392,ENSEIGNES!$B$2:$D971,2,FALSE),"")</f>
        <v>Centrale</v>
      </c>
      <c r="E392" s="30" t="str">
        <f>IF(C392&lt;&gt;"",VLOOKUP(C392,ENSEIGNES!$B$2:$D971,3,FALSE),"")</f>
        <v>CAP FRAIS</v>
      </c>
      <c r="F392" s="81">
        <v>389.76</v>
      </c>
      <c r="G392" s="32">
        <f t="shared" si="11"/>
        <v>411.1968</v>
      </c>
      <c r="H392" s="34">
        <f>IF(D392="Direct",PARAMETRES!$C$20,IF(D392="Centrale",PARAMETRES!$C$21,0))</f>
        <v>0.05</v>
      </c>
      <c r="I392" s="38">
        <f t="shared" si="2"/>
        <v>19.488</v>
      </c>
      <c r="J392" s="40">
        <f t="shared" si="3"/>
        <v>7</v>
      </c>
      <c r="K392" s="40">
        <f t="shared" si="4"/>
        <v>2026</v>
      </c>
      <c r="L392" s="30">
        <f t="shared" si="5"/>
        <v>0</v>
      </c>
    </row>
    <row r="393" ht="15.75" customHeight="1">
      <c r="A393" s="113">
        <v>46224.0</v>
      </c>
      <c r="B393" s="43" t="s">
        <v>573</v>
      </c>
      <c r="C393" s="43" t="s">
        <v>56</v>
      </c>
      <c r="D393" s="30" t="str">
        <f>IF(C393&lt;&gt;"",VLOOKUP(C393,ENSEIGNES!$B$2:$D971,2,FALSE),"")</f>
        <v>Direct</v>
      </c>
      <c r="E393" s="30" t="str">
        <f>IF(C393&lt;&gt;"",VLOOKUP(C393,ENSEIGNES!$B$2:$D971,3,FALSE),"")</f>
        <v>CAP FRAIS</v>
      </c>
      <c r="F393" s="81">
        <v>501.12</v>
      </c>
      <c r="G393" s="32">
        <f t="shared" si="11"/>
        <v>528.6816</v>
      </c>
      <c r="H393" s="34">
        <f>IF(D393="Direct",PARAMETRES!$C$20,IF(D393="Centrale",PARAMETRES!$C$21,0))</f>
        <v>0.07</v>
      </c>
      <c r="I393" s="38">
        <f t="shared" si="2"/>
        <v>35.0784</v>
      </c>
      <c r="J393" s="40">
        <f t="shared" si="3"/>
        <v>7</v>
      </c>
      <c r="K393" s="40">
        <f t="shared" si="4"/>
        <v>2026</v>
      </c>
      <c r="L393" s="30">
        <f t="shared" si="5"/>
        <v>1</v>
      </c>
    </row>
    <row r="394" ht="15.75" customHeight="1">
      <c r="A394" s="113">
        <v>46225.0</v>
      </c>
      <c r="B394" s="43" t="s">
        <v>574</v>
      </c>
      <c r="C394" s="43" t="s">
        <v>91</v>
      </c>
      <c r="D394" s="30" t="str">
        <f>IF(C394&lt;&gt;"",VLOOKUP(C394,ENSEIGNES!$B$2:$D971,2,FALSE),"")</f>
        <v>Centrale</v>
      </c>
      <c r="E394" s="30" t="str">
        <f>IF(C394&lt;&gt;"",VLOOKUP(C394,ENSEIGNES!$B$2:$D971,3,FALSE),"")</f>
        <v>CAP FRAIS</v>
      </c>
      <c r="F394" s="81">
        <v>412.96</v>
      </c>
      <c r="G394" s="32">
        <f t="shared" si="11"/>
        <v>435.6728</v>
      </c>
      <c r="H394" s="34">
        <f>IF(D394="Direct",PARAMETRES!$C$20,IF(D394="Centrale",PARAMETRES!$C$21,0))</f>
        <v>0.05</v>
      </c>
      <c r="I394" s="38">
        <f t="shared" si="2"/>
        <v>20.648</v>
      </c>
      <c r="J394" s="40">
        <f t="shared" si="3"/>
        <v>7</v>
      </c>
      <c r="K394" s="40">
        <f t="shared" si="4"/>
        <v>2026</v>
      </c>
      <c r="L394" s="30">
        <f t="shared" si="5"/>
        <v>0</v>
      </c>
    </row>
    <row r="395" ht="15.75" customHeight="1">
      <c r="A395" s="113">
        <v>46225.0</v>
      </c>
      <c r="B395" s="43" t="s">
        <v>575</v>
      </c>
      <c r="C395" s="43" t="s">
        <v>91</v>
      </c>
      <c r="D395" s="30" t="str">
        <f>IF(C395&lt;&gt;"",VLOOKUP(C395,ENSEIGNES!$B$2:$D971,2,FALSE),"")</f>
        <v>Centrale</v>
      </c>
      <c r="E395" s="30" t="str">
        <f>IF(C395&lt;&gt;"",VLOOKUP(C395,ENSEIGNES!$B$2:$D971,3,FALSE),"")</f>
        <v>CAP FRAIS</v>
      </c>
      <c r="F395" s="81">
        <v>440.8</v>
      </c>
      <c r="G395" s="32">
        <f t="shared" si="11"/>
        <v>465.044</v>
      </c>
      <c r="H395" s="34">
        <f>IF(D395="Direct",PARAMETRES!$C$20,IF(D395="Centrale",PARAMETRES!$C$21,0))</f>
        <v>0.05</v>
      </c>
      <c r="I395" s="38">
        <f t="shared" si="2"/>
        <v>22.04</v>
      </c>
      <c r="J395" s="40">
        <f t="shared" si="3"/>
        <v>7</v>
      </c>
      <c r="K395" s="40">
        <f t="shared" si="4"/>
        <v>2026</v>
      </c>
      <c r="L395" s="30">
        <f t="shared" si="5"/>
        <v>0</v>
      </c>
    </row>
    <row r="396" ht="15.75" customHeight="1">
      <c r="A396" s="113">
        <v>46227.0</v>
      </c>
      <c r="B396" s="43" t="s">
        <v>576</v>
      </c>
      <c r="C396" s="43" t="s">
        <v>91</v>
      </c>
      <c r="D396" s="30" t="str">
        <f>IF(C396&lt;&gt;"",VLOOKUP(C396,ENSEIGNES!$B$2:$D971,2,FALSE),"")</f>
        <v>Centrale</v>
      </c>
      <c r="E396" s="30" t="str">
        <f>IF(C396&lt;&gt;"",VLOOKUP(C396,ENSEIGNES!$B$2:$D971,3,FALSE),"")</f>
        <v>CAP FRAIS</v>
      </c>
      <c r="F396" s="81">
        <v>314.49</v>
      </c>
      <c r="G396" s="32">
        <f t="shared" si="11"/>
        <v>331.78695</v>
      </c>
      <c r="H396" s="34">
        <f>IF(D396="Direct",PARAMETRES!$C$20,IF(D396="Centrale",PARAMETRES!$C$21,0))</f>
        <v>0.05</v>
      </c>
      <c r="I396" s="38">
        <f t="shared" si="2"/>
        <v>15.7245</v>
      </c>
      <c r="J396" s="40">
        <f t="shared" si="3"/>
        <v>7</v>
      </c>
      <c r="K396" s="40">
        <f t="shared" si="4"/>
        <v>2026</v>
      </c>
      <c r="L396" s="30">
        <f t="shared" si="5"/>
        <v>0</v>
      </c>
    </row>
    <row r="397" ht="15.75" customHeight="1">
      <c r="A397" s="113">
        <v>46204.0</v>
      </c>
      <c r="B397" s="43" t="s">
        <v>577</v>
      </c>
      <c r="C397" s="43" t="s">
        <v>7</v>
      </c>
      <c r="D397" s="30" t="str">
        <f>IF(C397&lt;&gt;"",VLOOKUP(C397,ENSEIGNES!$B$2:$D971,2,FALSE),"")</f>
        <v>Centrale</v>
      </c>
      <c r="E397" s="30" t="str">
        <f>IF(C397&lt;&gt;"",VLOOKUP(C397,ENSEIGNES!$B$2:$D971,3,FALSE),"")</f>
        <v>BROCARD</v>
      </c>
      <c r="F397" s="81">
        <v>305.87</v>
      </c>
      <c r="G397" s="32">
        <f t="shared" si="11"/>
        <v>322.69285</v>
      </c>
      <c r="H397" s="34">
        <f>IF(D397="Direct",PARAMETRES!$C$20,IF(D397="Centrale",PARAMETRES!$C$21,0))</f>
        <v>0.05</v>
      </c>
      <c r="I397" s="38">
        <f t="shared" si="2"/>
        <v>15.2935</v>
      </c>
      <c r="J397" s="40">
        <f t="shared" si="3"/>
        <v>7</v>
      </c>
      <c r="K397" s="40">
        <f t="shared" si="4"/>
        <v>2026</v>
      </c>
      <c r="L397" s="30">
        <f t="shared" si="5"/>
        <v>1</v>
      </c>
    </row>
    <row r="398" ht="15.75" customHeight="1">
      <c r="A398" s="113">
        <v>46204.0</v>
      </c>
      <c r="B398" s="43" t="s">
        <v>578</v>
      </c>
      <c r="C398" s="43" t="s">
        <v>7</v>
      </c>
      <c r="D398" s="30" t="str">
        <f>IF(C398&lt;&gt;"",VLOOKUP(C398,ENSEIGNES!$B$2:$D971,2,FALSE),"")</f>
        <v>Centrale</v>
      </c>
      <c r="E398" s="30" t="str">
        <f>IF(C398&lt;&gt;"",VLOOKUP(C398,ENSEIGNES!$B$2:$D971,3,FALSE),"")</f>
        <v>BROCARD</v>
      </c>
      <c r="F398" s="81">
        <v>215.4</v>
      </c>
      <c r="G398" s="32">
        <f t="shared" si="11"/>
        <v>227.247</v>
      </c>
      <c r="H398" s="34">
        <f>IF(D398="Direct",PARAMETRES!$C$20,IF(D398="Centrale",PARAMETRES!$C$21,0))</f>
        <v>0.05</v>
      </c>
      <c r="I398" s="38">
        <f t="shared" si="2"/>
        <v>10.77</v>
      </c>
      <c r="J398" s="40">
        <f t="shared" si="3"/>
        <v>7</v>
      </c>
      <c r="K398" s="40">
        <f t="shared" si="4"/>
        <v>2026</v>
      </c>
      <c r="L398" s="30">
        <f t="shared" si="5"/>
        <v>0</v>
      </c>
    </row>
    <row r="399" ht="15.75" customHeight="1">
      <c r="A399" s="113">
        <v>46204.0</v>
      </c>
      <c r="B399" s="43" t="s">
        <v>579</v>
      </c>
      <c r="C399" s="43" t="s">
        <v>7</v>
      </c>
      <c r="D399" s="30" t="str">
        <f>IF(C399&lt;&gt;"",VLOOKUP(C399,ENSEIGNES!$B$2:$D971,2,FALSE),"")</f>
        <v>Centrale</v>
      </c>
      <c r="E399" s="30" t="str">
        <f>IF(C399&lt;&gt;"",VLOOKUP(C399,ENSEIGNES!$B$2:$D971,3,FALSE),"")</f>
        <v>BROCARD</v>
      </c>
      <c r="F399" s="81">
        <v>193.86</v>
      </c>
      <c r="G399" s="32">
        <f t="shared" si="11"/>
        <v>204.5223</v>
      </c>
      <c r="H399" s="34">
        <f>IF(D399="Direct",PARAMETRES!$C$20,IF(D399="Centrale",PARAMETRES!$C$21,0))</f>
        <v>0.05</v>
      </c>
      <c r="I399" s="38">
        <f t="shared" si="2"/>
        <v>9.693</v>
      </c>
      <c r="J399" s="40">
        <f t="shared" si="3"/>
        <v>7</v>
      </c>
      <c r="K399" s="40">
        <f t="shared" si="4"/>
        <v>2026</v>
      </c>
      <c r="L399" s="30">
        <f t="shared" si="5"/>
        <v>0</v>
      </c>
    </row>
    <row r="400" ht="15.75" customHeight="1">
      <c r="A400" s="113">
        <v>46206.0</v>
      </c>
      <c r="B400" s="43" t="s">
        <v>580</v>
      </c>
      <c r="C400" s="43" t="s">
        <v>7</v>
      </c>
      <c r="D400" s="30" t="str">
        <f>IF(C400&lt;&gt;"",VLOOKUP(C400,ENSEIGNES!$B$2:$D971,2,FALSE),"")</f>
        <v>Centrale</v>
      </c>
      <c r="E400" s="30" t="str">
        <f>IF(C400&lt;&gt;"",VLOOKUP(C400,ENSEIGNES!$B$2:$D971,3,FALSE),"")</f>
        <v>BROCARD</v>
      </c>
      <c r="F400" s="81">
        <v>150.78</v>
      </c>
      <c r="G400" s="32">
        <f t="shared" si="11"/>
        <v>159.0729</v>
      </c>
      <c r="H400" s="34">
        <f>IF(D400="Direct",PARAMETRES!$C$20,IF(D400="Centrale",PARAMETRES!$C$21,0))</f>
        <v>0.05</v>
      </c>
      <c r="I400" s="38">
        <f t="shared" si="2"/>
        <v>7.539</v>
      </c>
      <c r="J400" s="40">
        <f t="shared" si="3"/>
        <v>7</v>
      </c>
      <c r="K400" s="40">
        <f t="shared" si="4"/>
        <v>2026</v>
      </c>
      <c r="L400" s="30">
        <f t="shared" si="5"/>
        <v>0</v>
      </c>
    </row>
    <row r="401" ht="15.75" customHeight="1">
      <c r="A401" s="113">
        <v>46206.0</v>
      </c>
      <c r="B401" s="43" t="s">
        <v>581</v>
      </c>
      <c r="C401" s="43" t="s">
        <v>7</v>
      </c>
      <c r="D401" s="30" t="str">
        <f>IF(C401&lt;&gt;"",VLOOKUP(C401,ENSEIGNES!$B$2:$D971,2,FALSE),"")</f>
        <v>Centrale</v>
      </c>
      <c r="E401" s="30" t="str">
        <f>IF(C401&lt;&gt;"",VLOOKUP(C401,ENSEIGNES!$B$2:$D971,3,FALSE),"")</f>
        <v>BROCARD</v>
      </c>
      <c r="F401" s="81">
        <v>370.49</v>
      </c>
      <c r="G401" s="32">
        <f t="shared" si="11"/>
        <v>390.86695</v>
      </c>
      <c r="H401" s="34">
        <f>IF(D401="Direct",PARAMETRES!$C$20,IF(D401="Centrale",PARAMETRES!$C$21,0))</f>
        <v>0.05</v>
      </c>
      <c r="I401" s="38">
        <f t="shared" si="2"/>
        <v>18.5245</v>
      </c>
      <c r="J401" s="40">
        <f t="shared" si="3"/>
        <v>7</v>
      </c>
      <c r="K401" s="40">
        <f t="shared" si="4"/>
        <v>2026</v>
      </c>
      <c r="L401" s="30">
        <f t="shared" si="5"/>
        <v>0</v>
      </c>
    </row>
    <row r="402" ht="15.75" customHeight="1">
      <c r="A402" s="113">
        <v>46206.0</v>
      </c>
      <c r="B402" s="43" t="s">
        <v>582</v>
      </c>
      <c r="C402" s="43" t="s">
        <v>7</v>
      </c>
      <c r="D402" s="30" t="str">
        <f>IF(C402&lt;&gt;"",VLOOKUP(C402,ENSEIGNES!$B$2:$D971,2,FALSE),"")</f>
        <v>Centrale</v>
      </c>
      <c r="E402" s="30" t="str">
        <f>IF(C402&lt;&gt;"",VLOOKUP(C402,ENSEIGNES!$B$2:$D971,3,FALSE),"")</f>
        <v>BROCARD</v>
      </c>
      <c r="F402" s="81">
        <v>336.03</v>
      </c>
      <c r="G402" s="32">
        <f t="shared" si="11"/>
        <v>354.51165</v>
      </c>
      <c r="H402" s="34">
        <f>IF(D402="Direct",PARAMETRES!$C$20,IF(D402="Centrale",PARAMETRES!$C$21,0))</f>
        <v>0.05</v>
      </c>
      <c r="I402" s="38">
        <f t="shared" si="2"/>
        <v>16.8015</v>
      </c>
      <c r="J402" s="40">
        <f t="shared" si="3"/>
        <v>7</v>
      </c>
      <c r="K402" s="40">
        <f t="shared" si="4"/>
        <v>2026</v>
      </c>
      <c r="L402" s="30">
        <f t="shared" si="5"/>
        <v>0</v>
      </c>
    </row>
    <row r="403" ht="15.75" customHeight="1">
      <c r="A403" s="113">
        <v>46209.0</v>
      </c>
      <c r="B403" s="43" t="s">
        <v>583</v>
      </c>
      <c r="C403" s="43" t="s">
        <v>7</v>
      </c>
      <c r="D403" s="30" t="str">
        <f>IF(C403&lt;&gt;"",VLOOKUP(C403,ENSEIGNES!$B$2:$D971,2,FALSE),"")</f>
        <v>Centrale</v>
      </c>
      <c r="E403" s="30" t="str">
        <f>IF(C403&lt;&gt;"",VLOOKUP(C403,ENSEIGNES!$B$2:$D971,3,FALSE),"")</f>
        <v>BROCARD</v>
      </c>
      <c r="F403" s="81">
        <v>185.25</v>
      </c>
      <c r="G403" s="32">
        <f t="shared" si="11"/>
        <v>195.43875</v>
      </c>
      <c r="H403" s="34">
        <f>IF(D403="Direct",PARAMETRES!$C$20,IF(D403="Centrale",PARAMETRES!$C$21,0))</f>
        <v>0.05</v>
      </c>
      <c r="I403" s="38">
        <f t="shared" si="2"/>
        <v>9.2625</v>
      </c>
      <c r="J403" s="40">
        <f t="shared" si="3"/>
        <v>7</v>
      </c>
      <c r="K403" s="40">
        <f t="shared" si="4"/>
        <v>2026</v>
      </c>
      <c r="L403" s="30">
        <f t="shared" si="5"/>
        <v>0</v>
      </c>
    </row>
    <row r="404" ht="15.75" customHeight="1">
      <c r="A404" s="113">
        <v>46209.0</v>
      </c>
      <c r="B404" s="43" t="s">
        <v>584</v>
      </c>
      <c r="C404" s="43" t="s">
        <v>7</v>
      </c>
      <c r="D404" s="30" t="str">
        <f>IF(C404&lt;&gt;"",VLOOKUP(C404,ENSEIGNES!$B$2:$D971,2,FALSE),"")</f>
        <v>Centrale</v>
      </c>
      <c r="E404" s="30" t="str">
        <f>IF(C404&lt;&gt;"",VLOOKUP(C404,ENSEIGNES!$B$2:$D971,3,FALSE),"")</f>
        <v>BROCARD</v>
      </c>
      <c r="F404" s="81">
        <v>249.87</v>
      </c>
      <c r="G404" s="32">
        <f t="shared" si="11"/>
        <v>263.61285</v>
      </c>
      <c r="H404" s="34">
        <f>IF(D404="Direct",PARAMETRES!$C$20,IF(D404="Centrale",PARAMETRES!$C$21,0))</f>
        <v>0.05</v>
      </c>
      <c r="I404" s="38">
        <f t="shared" si="2"/>
        <v>12.4935</v>
      </c>
      <c r="J404" s="40">
        <f t="shared" si="3"/>
        <v>7</v>
      </c>
      <c r="K404" s="40">
        <f t="shared" si="4"/>
        <v>2026</v>
      </c>
      <c r="L404" s="30">
        <f t="shared" si="5"/>
        <v>0</v>
      </c>
    </row>
    <row r="405" ht="15.75" customHeight="1">
      <c r="A405" s="113">
        <v>46209.0</v>
      </c>
      <c r="B405" s="43" t="s">
        <v>585</v>
      </c>
      <c r="C405" s="43" t="s">
        <v>7</v>
      </c>
      <c r="D405" s="30" t="str">
        <f>IF(C405&lt;&gt;"",VLOOKUP(C405,ENSEIGNES!$B$2:$D971,2,FALSE),"")</f>
        <v>Centrale</v>
      </c>
      <c r="E405" s="30" t="str">
        <f>IF(C405&lt;&gt;"",VLOOKUP(C405,ENSEIGNES!$B$2:$D971,3,FALSE),"")</f>
        <v>BROCARD</v>
      </c>
      <c r="F405" s="81">
        <v>361.88</v>
      </c>
      <c r="G405" s="32">
        <f t="shared" si="11"/>
        <v>381.7834</v>
      </c>
      <c r="H405" s="34">
        <f>IF(D405="Direct",PARAMETRES!$C$20,IF(D405="Centrale",PARAMETRES!$C$21,0))</f>
        <v>0.05</v>
      </c>
      <c r="I405" s="38">
        <f t="shared" si="2"/>
        <v>18.094</v>
      </c>
      <c r="J405" s="40">
        <f t="shared" si="3"/>
        <v>7</v>
      </c>
      <c r="K405" s="40">
        <f t="shared" si="4"/>
        <v>2026</v>
      </c>
      <c r="L405" s="30">
        <f t="shared" si="5"/>
        <v>0</v>
      </c>
    </row>
    <row r="406" ht="15.75" customHeight="1">
      <c r="A406" s="113">
        <v>46209.0</v>
      </c>
      <c r="B406" s="43" t="s">
        <v>586</v>
      </c>
      <c r="C406" s="43" t="s">
        <v>7</v>
      </c>
      <c r="D406" s="30" t="str">
        <f>IF(C406&lt;&gt;"",VLOOKUP(C406,ENSEIGNES!$B$2:$D971,2,FALSE),"")</f>
        <v>Centrale</v>
      </c>
      <c r="E406" s="30" t="str">
        <f>IF(C406&lt;&gt;"",VLOOKUP(C406,ENSEIGNES!$B$2:$D971,3,FALSE),"")</f>
        <v>BROCARD</v>
      </c>
      <c r="F406" s="81">
        <v>224.02</v>
      </c>
      <c r="G406" s="32">
        <f t="shared" si="11"/>
        <v>236.3411</v>
      </c>
      <c r="H406" s="34">
        <f>IF(D406="Direct",PARAMETRES!$C$20,IF(D406="Centrale",PARAMETRES!$C$21,0))</f>
        <v>0.05</v>
      </c>
      <c r="I406" s="38">
        <f t="shared" si="2"/>
        <v>11.201</v>
      </c>
      <c r="J406" s="40">
        <f t="shared" si="3"/>
        <v>7</v>
      </c>
      <c r="K406" s="40">
        <f t="shared" si="4"/>
        <v>2026</v>
      </c>
      <c r="L406" s="30">
        <f t="shared" si="5"/>
        <v>0</v>
      </c>
    </row>
    <row r="407" ht="15.75" customHeight="1">
      <c r="A407" s="113">
        <v>46209.0</v>
      </c>
      <c r="B407" s="43" t="s">
        <v>587</v>
      </c>
      <c r="C407" s="43" t="s">
        <v>7</v>
      </c>
      <c r="D407" s="30" t="str">
        <f>IF(C407&lt;&gt;"",VLOOKUP(C407,ENSEIGNES!$B$2:$D971,2,FALSE),"")</f>
        <v>Centrale</v>
      </c>
      <c r="E407" s="30" t="str">
        <f>IF(C407&lt;&gt;"",VLOOKUP(C407,ENSEIGNES!$B$2:$D971,3,FALSE),"")</f>
        <v>BROCARD</v>
      </c>
      <c r="F407" s="81">
        <v>525.58</v>
      </c>
      <c r="G407" s="32">
        <f t="shared" si="11"/>
        <v>554.4869</v>
      </c>
      <c r="H407" s="34">
        <f>IF(D407="Direct",PARAMETRES!$C$20,IF(D407="Centrale",PARAMETRES!$C$21,0))</f>
        <v>0.05</v>
      </c>
      <c r="I407" s="38">
        <f t="shared" si="2"/>
        <v>26.279</v>
      </c>
      <c r="J407" s="40">
        <f t="shared" si="3"/>
        <v>7</v>
      </c>
      <c r="K407" s="40">
        <f t="shared" si="4"/>
        <v>2026</v>
      </c>
      <c r="L407" s="30">
        <f t="shared" si="5"/>
        <v>0</v>
      </c>
    </row>
    <row r="408" ht="15.75" customHeight="1">
      <c r="A408" s="113">
        <v>46211.0</v>
      </c>
      <c r="B408" s="43" t="s">
        <v>588</v>
      </c>
      <c r="C408" s="43" t="s">
        <v>7</v>
      </c>
      <c r="D408" s="30" t="str">
        <f>IF(C408&lt;&gt;"",VLOOKUP(C408,ENSEIGNES!$B$2:$D971,2,FALSE),"")</f>
        <v>Centrale</v>
      </c>
      <c r="E408" s="30" t="str">
        <f>IF(C408&lt;&gt;"",VLOOKUP(C408,ENSEIGNES!$B$2:$D971,3,FALSE),"")</f>
        <v>BROCARD</v>
      </c>
      <c r="F408" s="81">
        <v>107.7</v>
      </c>
      <c r="G408" s="32">
        <f t="shared" si="11"/>
        <v>113.6235</v>
      </c>
      <c r="H408" s="34">
        <f>IF(D408="Direct",PARAMETRES!$C$20,IF(D408="Centrale",PARAMETRES!$C$21,0))</f>
        <v>0.05</v>
      </c>
      <c r="I408" s="38">
        <f t="shared" si="2"/>
        <v>5.385</v>
      </c>
      <c r="J408" s="40">
        <f t="shared" si="3"/>
        <v>7</v>
      </c>
      <c r="K408" s="40">
        <f t="shared" si="4"/>
        <v>2026</v>
      </c>
      <c r="L408" s="30">
        <f t="shared" si="5"/>
        <v>0</v>
      </c>
    </row>
    <row r="409" ht="15.75" customHeight="1">
      <c r="A409" s="113">
        <v>46211.0</v>
      </c>
      <c r="B409" s="43" t="s">
        <v>589</v>
      </c>
      <c r="C409" s="43" t="s">
        <v>7</v>
      </c>
      <c r="D409" s="30" t="str">
        <f>IF(C409&lt;&gt;"",VLOOKUP(C409,ENSEIGNES!$B$2:$D971,2,FALSE),"")</f>
        <v>Centrale</v>
      </c>
      <c r="E409" s="30" t="str">
        <f>IF(C409&lt;&gt;"",VLOOKUP(C409,ENSEIGNES!$B$2:$D971,3,FALSE),"")</f>
        <v>BROCARD</v>
      </c>
      <c r="F409" s="81">
        <v>236.94</v>
      </c>
      <c r="G409" s="32">
        <f t="shared" si="11"/>
        <v>249.9717</v>
      </c>
      <c r="H409" s="34">
        <f>IF(D409="Direct",PARAMETRES!$C$20,IF(D409="Centrale",PARAMETRES!$C$21,0))</f>
        <v>0.05</v>
      </c>
      <c r="I409" s="38">
        <f t="shared" si="2"/>
        <v>11.847</v>
      </c>
      <c r="J409" s="40">
        <f t="shared" si="3"/>
        <v>7</v>
      </c>
      <c r="K409" s="40">
        <f t="shared" si="4"/>
        <v>2026</v>
      </c>
      <c r="L409" s="30">
        <f t="shared" si="5"/>
        <v>0</v>
      </c>
    </row>
    <row r="410" ht="15.75" customHeight="1">
      <c r="A410" s="113">
        <v>46211.0</v>
      </c>
      <c r="B410" s="43" t="s">
        <v>590</v>
      </c>
      <c r="C410" s="43" t="s">
        <v>7</v>
      </c>
      <c r="D410" s="30" t="str">
        <f>IF(C410&lt;&gt;"",VLOOKUP(C410,ENSEIGNES!$B$2:$D971,2,FALSE),"")</f>
        <v>Centrale</v>
      </c>
      <c r="E410" s="30" t="str">
        <f>IF(C410&lt;&gt;"",VLOOKUP(C410,ENSEIGNES!$B$2:$D971,3,FALSE),"")</f>
        <v>BROCARD</v>
      </c>
      <c r="F410" s="81">
        <v>232.64</v>
      </c>
      <c r="G410" s="32">
        <f t="shared" si="11"/>
        <v>245.4352</v>
      </c>
      <c r="H410" s="34">
        <f>IF(D410="Direct",PARAMETRES!$C$20,IF(D410="Centrale",PARAMETRES!$C$21,0))</f>
        <v>0.05</v>
      </c>
      <c r="I410" s="38">
        <f t="shared" si="2"/>
        <v>11.632</v>
      </c>
      <c r="J410" s="40">
        <f t="shared" si="3"/>
        <v>7</v>
      </c>
      <c r="K410" s="40">
        <f t="shared" si="4"/>
        <v>2026</v>
      </c>
      <c r="L410" s="30">
        <f t="shared" si="5"/>
        <v>0</v>
      </c>
    </row>
    <row r="411" ht="15.75" customHeight="1">
      <c r="A411" s="113">
        <v>46216.0</v>
      </c>
      <c r="B411" s="43" t="s">
        <v>591</v>
      </c>
      <c r="C411" s="43" t="s">
        <v>7</v>
      </c>
      <c r="D411" s="30" t="str">
        <f>IF(C411&lt;&gt;"",VLOOKUP(C411,ENSEIGNES!$B$2:$D971,2,FALSE),"")</f>
        <v>Centrale</v>
      </c>
      <c r="E411" s="30" t="str">
        <f>IF(C411&lt;&gt;"",VLOOKUP(C411,ENSEIGNES!$B$2:$D971,3,FALSE),"")</f>
        <v>BROCARD</v>
      </c>
      <c r="F411" s="81">
        <v>249.87</v>
      </c>
      <c r="G411" s="32">
        <f t="shared" si="11"/>
        <v>263.61285</v>
      </c>
      <c r="H411" s="34">
        <f>IF(D411="Direct",PARAMETRES!$C$20,IF(D411="Centrale",PARAMETRES!$C$21,0))</f>
        <v>0.05</v>
      </c>
      <c r="I411" s="38">
        <f t="shared" si="2"/>
        <v>12.4935</v>
      </c>
      <c r="J411" s="40">
        <f t="shared" si="3"/>
        <v>7</v>
      </c>
      <c r="K411" s="40">
        <f t="shared" si="4"/>
        <v>2026</v>
      </c>
      <c r="L411" s="30">
        <f t="shared" si="5"/>
        <v>0</v>
      </c>
    </row>
    <row r="412" ht="15.75" customHeight="1">
      <c r="A412" s="113">
        <v>46218.0</v>
      </c>
      <c r="B412" s="43" t="s">
        <v>592</v>
      </c>
      <c r="C412" s="43" t="s">
        <v>7</v>
      </c>
      <c r="D412" s="30" t="str">
        <f>IF(C412&lt;&gt;"",VLOOKUP(C412,ENSEIGNES!$B$2:$D971,2,FALSE),"")</f>
        <v>Centrale</v>
      </c>
      <c r="E412" s="30" t="str">
        <f>IF(C412&lt;&gt;"",VLOOKUP(C412,ENSEIGNES!$B$2:$D971,3,FALSE),"")</f>
        <v>BROCARD</v>
      </c>
      <c r="F412" s="81">
        <v>124.93</v>
      </c>
      <c r="G412" s="32">
        <f t="shared" si="11"/>
        <v>131.80115</v>
      </c>
      <c r="H412" s="34">
        <f>IF(D412="Direct",PARAMETRES!$C$20,IF(D412="Centrale",PARAMETRES!$C$21,0))</f>
        <v>0.05</v>
      </c>
      <c r="I412" s="38">
        <f t="shared" si="2"/>
        <v>6.2465</v>
      </c>
      <c r="J412" s="40">
        <f t="shared" si="3"/>
        <v>7</v>
      </c>
      <c r="K412" s="40">
        <f t="shared" si="4"/>
        <v>2026</v>
      </c>
      <c r="L412" s="30">
        <f t="shared" si="5"/>
        <v>0</v>
      </c>
    </row>
    <row r="413" ht="15.75" customHeight="1">
      <c r="A413" s="113">
        <v>46218.0</v>
      </c>
      <c r="B413" s="43" t="s">
        <v>593</v>
      </c>
      <c r="C413" s="43" t="s">
        <v>7</v>
      </c>
      <c r="D413" s="30" t="str">
        <f>IF(C413&lt;&gt;"",VLOOKUP(C413,ENSEIGNES!$B$2:$D971,2,FALSE),"")</f>
        <v>Centrale</v>
      </c>
      <c r="E413" s="30" t="str">
        <f>IF(C413&lt;&gt;"",VLOOKUP(C413,ENSEIGNES!$B$2:$D971,3,FALSE),"")</f>
        <v>BROCARD</v>
      </c>
      <c r="F413" s="81">
        <v>228.33</v>
      </c>
      <c r="G413" s="32">
        <f t="shared" si="11"/>
        <v>240.88815</v>
      </c>
      <c r="H413" s="34">
        <f>IF(D413="Direct",PARAMETRES!$C$20,IF(D413="Centrale",PARAMETRES!$C$21,0))</f>
        <v>0.05</v>
      </c>
      <c r="I413" s="38">
        <f t="shared" si="2"/>
        <v>11.4165</v>
      </c>
      <c r="J413" s="40">
        <f t="shared" si="3"/>
        <v>7</v>
      </c>
      <c r="K413" s="40">
        <f t="shared" si="4"/>
        <v>2026</v>
      </c>
      <c r="L413" s="30">
        <f t="shared" si="5"/>
        <v>0</v>
      </c>
    </row>
    <row r="414" ht="15.75" customHeight="1">
      <c r="A414" s="113">
        <v>46218.0</v>
      </c>
      <c r="B414" s="43" t="s">
        <v>594</v>
      </c>
      <c r="C414" s="43" t="s">
        <v>7</v>
      </c>
      <c r="D414" s="30" t="str">
        <f>IF(C414&lt;&gt;"",VLOOKUP(C414,ENSEIGNES!$B$2:$D971,2,FALSE),"")</f>
        <v>Centrale</v>
      </c>
      <c r="E414" s="30" t="str">
        <f>IF(C414&lt;&gt;"",VLOOKUP(C414,ENSEIGNES!$B$2:$D971,3,FALSE),"")</f>
        <v>BROCARD</v>
      </c>
      <c r="F414" s="81">
        <v>185.25</v>
      </c>
      <c r="G414" s="32">
        <f t="shared" si="11"/>
        <v>195.43875</v>
      </c>
      <c r="H414" s="34">
        <f>IF(D414="Direct",PARAMETRES!$C$20,IF(D414="Centrale",PARAMETRES!$C$21,0))</f>
        <v>0.05</v>
      </c>
      <c r="I414" s="38">
        <f t="shared" si="2"/>
        <v>9.2625</v>
      </c>
      <c r="J414" s="40">
        <f t="shared" si="3"/>
        <v>7</v>
      </c>
      <c r="K414" s="40">
        <f t="shared" si="4"/>
        <v>2026</v>
      </c>
      <c r="L414" s="30">
        <f t="shared" si="5"/>
        <v>0</v>
      </c>
    </row>
    <row r="415" ht="15.75" customHeight="1">
      <c r="A415" s="113">
        <v>46221.0</v>
      </c>
      <c r="B415" s="43" t="s">
        <v>595</v>
      </c>
      <c r="C415" s="43" t="s">
        <v>7</v>
      </c>
      <c r="D415" s="30" t="str">
        <f>IF(C415&lt;&gt;"",VLOOKUP(C415,ENSEIGNES!$B$2:$D971,2,FALSE),"")</f>
        <v>Centrale</v>
      </c>
      <c r="E415" s="30" t="str">
        <f>IF(C415&lt;&gt;"",VLOOKUP(C415,ENSEIGNES!$B$2:$D971,3,FALSE),"")</f>
        <v>BROCARD</v>
      </c>
      <c r="F415" s="81">
        <v>215.4</v>
      </c>
      <c r="G415" s="32">
        <f t="shared" si="11"/>
        <v>227.247</v>
      </c>
      <c r="H415" s="34">
        <f>IF(D415="Direct",PARAMETRES!$C$20,IF(D415="Centrale",PARAMETRES!$C$21,0))</f>
        <v>0.05</v>
      </c>
      <c r="I415" s="38">
        <f t="shared" si="2"/>
        <v>10.77</v>
      </c>
      <c r="J415" s="40">
        <f t="shared" si="3"/>
        <v>7</v>
      </c>
      <c r="K415" s="40">
        <f t="shared" si="4"/>
        <v>2026</v>
      </c>
      <c r="L415" s="30">
        <f t="shared" si="5"/>
        <v>0</v>
      </c>
    </row>
    <row r="416" ht="15.75" customHeight="1">
      <c r="A416" s="113">
        <v>46221.0</v>
      </c>
      <c r="B416" s="43" t="s">
        <v>596</v>
      </c>
      <c r="C416" s="43" t="s">
        <v>7</v>
      </c>
      <c r="D416" s="30" t="str">
        <f>IF(C416&lt;&gt;"",VLOOKUP(C416,ENSEIGNES!$B$2:$D971,2,FALSE),"")</f>
        <v>Centrale</v>
      </c>
      <c r="E416" s="30" t="str">
        <f>IF(C416&lt;&gt;"",VLOOKUP(C416,ENSEIGNES!$B$2:$D971,3,FALSE),"")</f>
        <v>BROCARD</v>
      </c>
      <c r="F416" s="81">
        <v>366.18</v>
      </c>
      <c r="G416" s="32">
        <f t="shared" si="11"/>
        <v>386.3199</v>
      </c>
      <c r="H416" s="34">
        <f>IF(D416="Direct",PARAMETRES!$C$20,IF(D416="Centrale",PARAMETRES!$C$21,0))</f>
        <v>0.05</v>
      </c>
      <c r="I416" s="38">
        <f t="shared" si="2"/>
        <v>18.309</v>
      </c>
      <c r="J416" s="40">
        <f t="shared" si="3"/>
        <v>7</v>
      </c>
      <c r="K416" s="40">
        <f t="shared" si="4"/>
        <v>2026</v>
      </c>
      <c r="L416" s="30">
        <f t="shared" si="5"/>
        <v>0</v>
      </c>
    </row>
    <row r="417" ht="15.75" customHeight="1">
      <c r="A417" s="113">
        <v>46221.0</v>
      </c>
      <c r="B417" s="43" t="s">
        <v>597</v>
      </c>
      <c r="C417" s="43" t="s">
        <v>7</v>
      </c>
      <c r="D417" s="30" t="str">
        <f>IF(C417&lt;&gt;"",VLOOKUP(C417,ENSEIGNES!$B$2:$D971,2,FALSE),"")</f>
        <v>Centrale</v>
      </c>
      <c r="E417" s="30" t="str">
        <f>IF(C417&lt;&gt;"",VLOOKUP(C417,ENSEIGNES!$B$2:$D971,3,FALSE),"")</f>
        <v>BROCARD</v>
      </c>
      <c r="F417" s="81">
        <v>271.41</v>
      </c>
      <c r="G417" s="32">
        <f t="shared" si="11"/>
        <v>286.33755</v>
      </c>
      <c r="H417" s="34">
        <f>IF(D417="Direct",PARAMETRES!$C$20,IF(D417="Centrale",PARAMETRES!$C$21,0))</f>
        <v>0.05</v>
      </c>
      <c r="I417" s="38">
        <f t="shared" si="2"/>
        <v>13.5705</v>
      </c>
      <c r="J417" s="40">
        <f t="shared" si="3"/>
        <v>7</v>
      </c>
      <c r="K417" s="40">
        <f t="shared" si="4"/>
        <v>2026</v>
      </c>
      <c r="L417" s="30">
        <f t="shared" si="5"/>
        <v>0</v>
      </c>
    </row>
    <row r="418" ht="15.75" customHeight="1">
      <c r="A418" s="113">
        <v>46205.0</v>
      </c>
      <c r="B418" s="43" t="s">
        <v>598</v>
      </c>
      <c r="C418" s="43" t="s">
        <v>37</v>
      </c>
      <c r="D418" s="30" t="str">
        <f>IF(C418&lt;&gt;"",VLOOKUP(C418,ENSEIGNES!$B$2:$D971,2,FALSE),"")</f>
        <v>Centrale</v>
      </c>
      <c r="E418" s="30" t="str">
        <f>IF(C418&lt;&gt;"",VLOOKUP(C418,ENSEIGNES!$B$2:$D971,3,FALSE),"")</f>
        <v>CAP FRAIS</v>
      </c>
      <c r="F418" s="81">
        <v>590.2</v>
      </c>
      <c r="G418" s="32">
        <f t="shared" si="11"/>
        <v>622.661</v>
      </c>
      <c r="H418" s="34">
        <f>IF(D418="Direct",PARAMETRES!$C$20,IF(D418="Centrale",PARAMETRES!$C$21,0))</f>
        <v>0.05</v>
      </c>
      <c r="I418" s="38">
        <f t="shared" si="2"/>
        <v>29.51</v>
      </c>
      <c r="J418" s="40">
        <f t="shared" si="3"/>
        <v>7</v>
      </c>
      <c r="K418" s="40">
        <f t="shared" si="4"/>
        <v>2026</v>
      </c>
      <c r="L418" s="30">
        <f t="shared" si="5"/>
        <v>1</v>
      </c>
    </row>
    <row r="419" ht="15.75" customHeight="1">
      <c r="A419" s="113">
        <v>46209.0</v>
      </c>
      <c r="B419" s="43" t="s">
        <v>599</v>
      </c>
      <c r="C419" s="43" t="s">
        <v>37</v>
      </c>
      <c r="D419" s="30" t="str">
        <f>IF(C419&lt;&gt;"",VLOOKUP(C419,ENSEIGNES!$B$2:$D971,2,FALSE),"")</f>
        <v>Centrale</v>
      </c>
      <c r="E419" s="30" t="str">
        <f>IF(C419&lt;&gt;"",VLOOKUP(C419,ENSEIGNES!$B$2:$D971,3,FALSE),"")</f>
        <v>CAP FRAIS</v>
      </c>
      <c r="F419" s="81">
        <v>202.48</v>
      </c>
      <c r="G419" s="32">
        <f t="shared" si="11"/>
        <v>213.6164</v>
      </c>
      <c r="H419" s="34">
        <f>IF(D419="Direct",PARAMETRES!$C$20,IF(D419="Centrale",PARAMETRES!$C$21,0))</f>
        <v>0.05</v>
      </c>
      <c r="I419" s="38">
        <f t="shared" si="2"/>
        <v>10.124</v>
      </c>
      <c r="J419" s="40">
        <f t="shared" si="3"/>
        <v>7</v>
      </c>
      <c r="K419" s="40">
        <f t="shared" si="4"/>
        <v>2026</v>
      </c>
      <c r="L419" s="30">
        <f t="shared" si="5"/>
        <v>0</v>
      </c>
    </row>
    <row r="420" ht="15.75" customHeight="1">
      <c r="A420" s="113">
        <v>46216.0</v>
      </c>
      <c r="B420" s="43" t="s">
        <v>600</v>
      </c>
      <c r="C420" s="43" t="s">
        <v>37</v>
      </c>
      <c r="D420" s="30" t="str">
        <f>IF(C420&lt;&gt;"",VLOOKUP(C420,ENSEIGNES!$B$2:$D971,2,FALSE),"")</f>
        <v>Centrale</v>
      </c>
      <c r="E420" s="30" t="str">
        <f>IF(C420&lt;&gt;"",VLOOKUP(C420,ENSEIGNES!$B$2:$D971,3,FALSE),"")</f>
        <v>CAP FRAIS</v>
      </c>
      <c r="F420" s="81">
        <v>633.28</v>
      </c>
      <c r="G420" s="32">
        <f t="shared" si="11"/>
        <v>668.1104</v>
      </c>
      <c r="H420" s="34">
        <f>IF(D420="Direct",PARAMETRES!$C$20,IF(D420="Centrale",PARAMETRES!$C$21,0))</f>
        <v>0.05</v>
      </c>
      <c r="I420" s="38">
        <f t="shared" si="2"/>
        <v>31.664</v>
      </c>
      <c r="J420" s="40">
        <f t="shared" si="3"/>
        <v>7</v>
      </c>
      <c r="K420" s="40">
        <f t="shared" si="4"/>
        <v>2026</v>
      </c>
      <c r="L420" s="30">
        <f t="shared" si="5"/>
        <v>0</v>
      </c>
    </row>
    <row r="421" ht="15.75" customHeight="1">
      <c r="A421" s="113">
        <v>46219.0</v>
      </c>
      <c r="B421" s="43" t="s">
        <v>601</v>
      </c>
      <c r="C421" s="43" t="s">
        <v>37</v>
      </c>
      <c r="D421" s="30" t="str">
        <f>IF(C421&lt;&gt;"",VLOOKUP(C421,ENSEIGNES!$B$2:$D971,2,FALSE),"")</f>
        <v>Centrale</v>
      </c>
      <c r="E421" s="30" t="str">
        <f>IF(C421&lt;&gt;"",VLOOKUP(C421,ENSEIGNES!$B$2:$D971,3,FALSE),"")</f>
        <v>CAP FRAIS</v>
      </c>
      <c r="F421" s="81">
        <v>516.97</v>
      </c>
      <c r="G421" s="32">
        <f t="shared" si="11"/>
        <v>545.40335</v>
      </c>
      <c r="H421" s="34">
        <f>IF(D421="Direct",PARAMETRES!$C$20,IF(D421="Centrale",PARAMETRES!$C$21,0))</f>
        <v>0.05</v>
      </c>
      <c r="I421" s="38">
        <f t="shared" si="2"/>
        <v>25.8485</v>
      </c>
      <c r="J421" s="40">
        <f t="shared" si="3"/>
        <v>7</v>
      </c>
      <c r="K421" s="40">
        <f t="shared" si="4"/>
        <v>2026</v>
      </c>
      <c r="L421" s="30">
        <f t="shared" si="5"/>
        <v>0</v>
      </c>
    </row>
    <row r="422" ht="15.75" customHeight="1">
      <c r="A422" s="113">
        <v>46224.0</v>
      </c>
      <c r="B422" s="43" t="s">
        <v>602</v>
      </c>
      <c r="C422" s="43" t="s">
        <v>37</v>
      </c>
      <c r="D422" s="30" t="str">
        <f>IF(C422&lt;&gt;"",VLOOKUP(C422,ENSEIGNES!$B$2:$D971,2,FALSE),"")</f>
        <v>Centrale</v>
      </c>
      <c r="E422" s="30" t="str">
        <f>IF(C422&lt;&gt;"",VLOOKUP(C422,ENSEIGNES!$B$2:$D971,3,FALSE),"")</f>
        <v>CAP FRAIS</v>
      </c>
      <c r="F422" s="81">
        <v>400.65</v>
      </c>
      <c r="G422" s="32">
        <f t="shared" si="11"/>
        <v>422.68575</v>
      </c>
      <c r="H422" s="34">
        <f>IF(D422="Direct",PARAMETRES!$C$20,IF(D422="Centrale",PARAMETRES!$C$21,0))</f>
        <v>0.05</v>
      </c>
      <c r="I422" s="38">
        <f t="shared" si="2"/>
        <v>20.0325</v>
      </c>
      <c r="J422" s="40">
        <f t="shared" si="3"/>
        <v>7</v>
      </c>
      <c r="K422" s="40">
        <f t="shared" si="4"/>
        <v>2026</v>
      </c>
      <c r="L422" s="30">
        <f t="shared" si="5"/>
        <v>0</v>
      </c>
    </row>
    <row r="423" ht="15.75" customHeight="1">
      <c r="A423" s="113">
        <v>46233.0</v>
      </c>
      <c r="B423" s="43" t="s">
        <v>603</v>
      </c>
      <c r="C423" s="43" t="s">
        <v>37</v>
      </c>
      <c r="D423" s="30" t="str">
        <f>IF(C423&lt;&gt;"",VLOOKUP(C423,ENSEIGNES!$B$2:$D971,2,FALSE),"")</f>
        <v>Centrale</v>
      </c>
      <c r="E423" s="30" t="str">
        <f>IF(C423&lt;&gt;"",VLOOKUP(C423,ENSEIGNES!$B$2:$D971,3,FALSE),"")</f>
        <v>CAP FRAIS</v>
      </c>
      <c r="F423" s="81">
        <v>387.73</v>
      </c>
      <c r="G423" s="32">
        <f t="shared" si="11"/>
        <v>409.05515</v>
      </c>
      <c r="H423" s="34">
        <f>IF(D423="Direct",PARAMETRES!$C$20,IF(D423="Centrale",PARAMETRES!$C$21,0))</f>
        <v>0.05</v>
      </c>
      <c r="I423" s="38">
        <f t="shared" si="2"/>
        <v>19.3865</v>
      </c>
      <c r="J423" s="40">
        <f t="shared" si="3"/>
        <v>7</v>
      </c>
      <c r="K423" s="40">
        <f t="shared" si="4"/>
        <v>2026</v>
      </c>
      <c r="L423" s="30">
        <f t="shared" si="5"/>
        <v>0</v>
      </c>
    </row>
    <row r="424" ht="15.75" customHeight="1">
      <c r="A424" s="113">
        <v>46231.0</v>
      </c>
      <c r="B424" s="43" t="s">
        <v>604</v>
      </c>
      <c r="C424" s="43" t="s">
        <v>37</v>
      </c>
      <c r="D424" s="30" t="str">
        <f>IF(C424&lt;&gt;"",VLOOKUP(C424,ENSEIGNES!$B$2:$D971,2,FALSE),"")</f>
        <v>Centrale</v>
      </c>
      <c r="E424" s="30" t="str">
        <f>IF(C424&lt;&gt;"",VLOOKUP(C424,ENSEIGNES!$B$2:$D971,3,FALSE),"")</f>
        <v>CAP FRAIS</v>
      </c>
      <c r="F424" s="81">
        <v>585.9</v>
      </c>
      <c r="G424" s="32">
        <f t="shared" si="11"/>
        <v>618.1245</v>
      </c>
      <c r="H424" s="34">
        <f>IF(D424="Direct",PARAMETRES!$C$20,IF(D424="Centrale",PARAMETRES!$C$21,0))</f>
        <v>0.05</v>
      </c>
      <c r="I424" s="38">
        <f t="shared" si="2"/>
        <v>29.295</v>
      </c>
      <c r="J424" s="40">
        <f t="shared" si="3"/>
        <v>7</v>
      </c>
      <c r="K424" s="40">
        <f t="shared" si="4"/>
        <v>2026</v>
      </c>
      <c r="L424" s="30">
        <f t="shared" si="5"/>
        <v>0</v>
      </c>
    </row>
    <row r="425" ht="15.75" customHeight="1">
      <c r="A425" s="113">
        <v>46226.0</v>
      </c>
      <c r="B425" s="43" t="s">
        <v>605</v>
      </c>
      <c r="C425" s="43" t="s">
        <v>37</v>
      </c>
      <c r="D425" s="30" t="str">
        <f>IF(C425&lt;&gt;"",VLOOKUP(C425,ENSEIGNES!$B$2:$D971,2,FALSE),"")</f>
        <v>Centrale</v>
      </c>
      <c r="E425" s="30" t="str">
        <f>IF(C425&lt;&gt;"",VLOOKUP(C425,ENSEIGNES!$B$2:$D971,3,FALSE),"")</f>
        <v>CAP FRAIS</v>
      </c>
      <c r="F425" s="81">
        <v>439.42</v>
      </c>
      <c r="G425" s="32">
        <f t="shared" si="11"/>
        <v>463.5881</v>
      </c>
      <c r="H425" s="34">
        <f>IF(D425="Direct",PARAMETRES!$C$20,IF(D425="Centrale",PARAMETRES!$C$21,0))</f>
        <v>0.05</v>
      </c>
      <c r="I425" s="38">
        <f t="shared" si="2"/>
        <v>21.971</v>
      </c>
      <c r="J425" s="40">
        <f t="shared" si="3"/>
        <v>7</v>
      </c>
      <c r="K425" s="40">
        <f t="shared" si="4"/>
        <v>2026</v>
      </c>
      <c r="L425" s="30">
        <f t="shared" si="5"/>
        <v>0</v>
      </c>
    </row>
    <row r="426" ht="15.75" customHeight="1">
      <c r="A426" s="113">
        <v>46234.0</v>
      </c>
      <c r="B426" s="43" t="s">
        <v>606</v>
      </c>
      <c r="C426" s="43" t="s">
        <v>7</v>
      </c>
      <c r="D426" s="30" t="str">
        <f>IF(C426&lt;&gt;"",VLOOKUP(C426,ENSEIGNES!$B$2:$D971,2,FALSE),"")</f>
        <v>Centrale</v>
      </c>
      <c r="E426" s="30" t="str">
        <f>IF(C426&lt;&gt;"",VLOOKUP(C426,ENSEIGNES!$B$2:$D971,3,FALSE),"")</f>
        <v>BROCARD</v>
      </c>
      <c r="F426" s="81">
        <v>107.7</v>
      </c>
      <c r="G426" s="32">
        <f t="shared" si="11"/>
        <v>113.6235</v>
      </c>
      <c r="H426" s="34">
        <f>IF(D426="Direct",PARAMETRES!$C$20,IF(D426="Centrale",PARAMETRES!$C$21,0))</f>
        <v>0.05</v>
      </c>
      <c r="I426" s="38">
        <f t="shared" si="2"/>
        <v>5.385</v>
      </c>
      <c r="J426" s="40">
        <f t="shared" si="3"/>
        <v>7</v>
      </c>
      <c r="K426" s="40">
        <f t="shared" si="4"/>
        <v>2026</v>
      </c>
      <c r="L426" s="30">
        <f t="shared" si="5"/>
        <v>0</v>
      </c>
    </row>
    <row r="427" ht="15.75" customHeight="1">
      <c r="A427" s="113">
        <v>46232.0</v>
      </c>
      <c r="B427" s="43" t="s">
        <v>607</v>
      </c>
      <c r="C427" s="43" t="s">
        <v>7</v>
      </c>
      <c r="D427" s="30" t="str">
        <f>IF(C427&lt;&gt;"",VLOOKUP(C427,ENSEIGNES!$B$2:$D971,2,FALSE),"")</f>
        <v>Centrale</v>
      </c>
      <c r="E427" s="30" t="str">
        <f>IF(C427&lt;&gt;"",VLOOKUP(C427,ENSEIGNES!$B$2:$D971,3,FALSE),"")</f>
        <v>BROCARD</v>
      </c>
      <c r="F427" s="81">
        <v>340.34</v>
      </c>
      <c r="G427" s="32">
        <f t="shared" si="11"/>
        <v>359.0587</v>
      </c>
      <c r="H427" s="34">
        <f>IF(D427="Direct",PARAMETRES!$C$20,IF(D427="Centrale",PARAMETRES!$C$21,0))</f>
        <v>0.05</v>
      </c>
      <c r="I427" s="38">
        <f t="shared" si="2"/>
        <v>17.017</v>
      </c>
      <c r="J427" s="40">
        <f t="shared" si="3"/>
        <v>7</v>
      </c>
      <c r="K427" s="40">
        <f t="shared" si="4"/>
        <v>2026</v>
      </c>
      <c r="L427" s="30">
        <f t="shared" si="5"/>
        <v>0</v>
      </c>
    </row>
    <row r="428" ht="15.75" customHeight="1">
      <c r="A428" s="113">
        <v>46232.0</v>
      </c>
      <c r="B428" s="43" t="s">
        <v>608</v>
      </c>
      <c r="C428" s="43" t="s">
        <v>7</v>
      </c>
      <c r="D428" s="30" t="str">
        <f>IF(C428&lt;&gt;"",VLOOKUP(C428,ENSEIGNES!$B$2:$D971,2,FALSE),"")</f>
        <v>Centrale</v>
      </c>
      <c r="E428" s="30" t="str">
        <f>IF(C428&lt;&gt;"",VLOOKUP(C428,ENSEIGNES!$B$2:$D971,3,FALSE),"")</f>
        <v>BROCARD</v>
      </c>
      <c r="F428" s="81">
        <v>357.57</v>
      </c>
      <c r="G428" s="32">
        <f t="shared" si="11"/>
        <v>377.23635</v>
      </c>
      <c r="H428" s="34">
        <f>IF(D428="Direct",PARAMETRES!$C$20,IF(D428="Centrale",PARAMETRES!$C$21,0))</f>
        <v>0.05</v>
      </c>
      <c r="I428" s="38">
        <f t="shared" si="2"/>
        <v>17.8785</v>
      </c>
      <c r="J428" s="40">
        <f t="shared" si="3"/>
        <v>7</v>
      </c>
      <c r="K428" s="40">
        <f t="shared" si="4"/>
        <v>2026</v>
      </c>
      <c r="L428" s="30">
        <f t="shared" si="5"/>
        <v>0</v>
      </c>
    </row>
    <row r="429" ht="15.75" customHeight="1">
      <c r="A429" s="113">
        <v>46230.0</v>
      </c>
      <c r="B429" s="43" t="s">
        <v>609</v>
      </c>
      <c r="C429" s="43" t="s">
        <v>7</v>
      </c>
      <c r="D429" s="30" t="str">
        <f>IF(C429&lt;&gt;"",VLOOKUP(C429,ENSEIGNES!$B$2:$D971,2,FALSE),"")</f>
        <v>Centrale</v>
      </c>
      <c r="E429" s="30" t="str">
        <f>IF(C429&lt;&gt;"",VLOOKUP(C429,ENSEIGNES!$B$2:$D971,3,FALSE),"")</f>
        <v>BROCARD</v>
      </c>
      <c r="F429" s="81">
        <v>163.71</v>
      </c>
      <c r="G429" s="32">
        <f t="shared" si="11"/>
        <v>172.71405</v>
      </c>
      <c r="H429" s="34">
        <f>IF(D429="Direct",PARAMETRES!$C$20,IF(D429="Centrale",PARAMETRES!$C$21,0))</f>
        <v>0.05</v>
      </c>
      <c r="I429" s="38">
        <f t="shared" si="2"/>
        <v>8.1855</v>
      </c>
      <c r="J429" s="40">
        <f t="shared" si="3"/>
        <v>7</v>
      </c>
      <c r="K429" s="40">
        <f t="shared" si="4"/>
        <v>2026</v>
      </c>
      <c r="L429" s="30">
        <f t="shared" si="5"/>
        <v>0</v>
      </c>
    </row>
    <row r="430" ht="15.75" customHeight="1">
      <c r="A430" s="113">
        <v>46230.0</v>
      </c>
      <c r="B430" s="43" t="s">
        <v>610</v>
      </c>
      <c r="C430" s="43" t="s">
        <v>7</v>
      </c>
      <c r="D430" s="30" t="str">
        <f>IF(C430&lt;&gt;"",VLOOKUP(C430,ENSEIGNES!$B$2:$D971,2,FALSE),"")</f>
        <v>Centrale</v>
      </c>
      <c r="E430" s="30" t="str">
        <f>IF(C430&lt;&gt;"",VLOOKUP(C430,ENSEIGNES!$B$2:$D971,3,FALSE),"")</f>
        <v>BROCARD</v>
      </c>
      <c r="F430" s="81">
        <v>396.34</v>
      </c>
      <c r="G430" s="32">
        <f t="shared" si="11"/>
        <v>418.1387</v>
      </c>
      <c r="H430" s="34">
        <f>IF(D430="Direct",PARAMETRES!$C$20,IF(D430="Centrale",PARAMETRES!$C$21,0))</f>
        <v>0.05</v>
      </c>
      <c r="I430" s="38">
        <f t="shared" si="2"/>
        <v>19.817</v>
      </c>
      <c r="J430" s="40">
        <f t="shared" si="3"/>
        <v>7</v>
      </c>
      <c r="K430" s="40">
        <f t="shared" si="4"/>
        <v>2026</v>
      </c>
      <c r="L430" s="30">
        <f t="shared" si="5"/>
        <v>0</v>
      </c>
    </row>
    <row r="431" ht="15.75" customHeight="1">
      <c r="A431" s="113">
        <v>46227.0</v>
      </c>
      <c r="B431" s="43" t="s">
        <v>611</v>
      </c>
      <c r="C431" s="43" t="s">
        <v>7</v>
      </c>
      <c r="D431" s="30" t="str">
        <f>IF(C431&lt;&gt;"",VLOOKUP(C431,ENSEIGNES!$B$2:$D971,2,FALSE),"")</f>
        <v>Centrale</v>
      </c>
      <c r="E431" s="30" t="str">
        <f>IF(C431&lt;&gt;"",VLOOKUP(C431,ENSEIGNES!$B$2:$D971,3,FALSE),"")</f>
        <v>BROCARD</v>
      </c>
      <c r="F431" s="81">
        <v>236.94</v>
      </c>
      <c r="G431" s="32">
        <f t="shared" si="11"/>
        <v>249.9717</v>
      </c>
      <c r="H431" s="34">
        <f>IF(D431="Direct",PARAMETRES!$C$20,IF(D431="Centrale",PARAMETRES!$C$21,0))</f>
        <v>0.05</v>
      </c>
      <c r="I431" s="38">
        <f t="shared" si="2"/>
        <v>11.847</v>
      </c>
      <c r="J431" s="40">
        <f t="shared" si="3"/>
        <v>7</v>
      </c>
      <c r="K431" s="40">
        <f t="shared" si="4"/>
        <v>2026</v>
      </c>
      <c r="L431" s="30">
        <f t="shared" si="5"/>
        <v>0</v>
      </c>
    </row>
    <row r="432" ht="15.75" customHeight="1">
      <c r="A432" s="113">
        <v>46227.0</v>
      </c>
      <c r="B432" s="43" t="s">
        <v>612</v>
      </c>
      <c r="C432" s="43" t="s">
        <v>7</v>
      </c>
      <c r="D432" s="30" t="str">
        <f>IF(C432&lt;&gt;"",VLOOKUP(C432,ENSEIGNES!$B$2:$D971,2,FALSE),"")</f>
        <v>Centrale</v>
      </c>
      <c r="E432" s="30" t="str">
        <f>IF(C432&lt;&gt;"",VLOOKUP(C432,ENSEIGNES!$B$2:$D971,3,FALSE),"")</f>
        <v>BROCARD</v>
      </c>
      <c r="F432" s="81">
        <v>336.03</v>
      </c>
      <c r="G432" s="32">
        <f t="shared" si="11"/>
        <v>354.51165</v>
      </c>
      <c r="H432" s="34">
        <f>IF(D432="Direct",PARAMETRES!$C$20,IF(D432="Centrale",PARAMETRES!$C$21,0))</f>
        <v>0.05</v>
      </c>
      <c r="I432" s="38">
        <f t="shared" si="2"/>
        <v>16.8015</v>
      </c>
      <c r="J432" s="40">
        <f t="shared" si="3"/>
        <v>7</v>
      </c>
      <c r="K432" s="40">
        <f t="shared" si="4"/>
        <v>2026</v>
      </c>
      <c r="L432" s="30">
        <f t="shared" si="5"/>
        <v>0</v>
      </c>
    </row>
    <row r="433" ht="15.75" customHeight="1">
      <c r="A433" s="113">
        <v>46225.0</v>
      </c>
      <c r="B433" s="43" t="s">
        <v>613</v>
      </c>
      <c r="C433" s="43" t="s">
        <v>7</v>
      </c>
      <c r="D433" s="30" t="str">
        <f>IF(C433&lt;&gt;"",VLOOKUP(C433,ENSEIGNES!$B$2:$D971,2,FALSE),"")</f>
        <v>Centrale</v>
      </c>
      <c r="E433" s="30" t="str">
        <f>IF(C433&lt;&gt;"",VLOOKUP(C433,ENSEIGNES!$B$2:$D971,3,FALSE),"")</f>
        <v>BROCARD</v>
      </c>
      <c r="F433" s="81">
        <v>400.65</v>
      </c>
      <c r="G433" s="32">
        <f t="shared" si="11"/>
        <v>422.68575</v>
      </c>
      <c r="H433" s="34">
        <f>IF(D433="Direct",PARAMETRES!$C$20,IF(D433="Centrale",PARAMETRES!$C$21,0))</f>
        <v>0.05</v>
      </c>
      <c r="I433" s="38">
        <f t="shared" si="2"/>
        <v>20.0325</v>
      </c>
      <c r="J433" s="40">
        <f t="shared" si="3"/>
        <v>7</v>
      </c>
      <c r="K433" s="40">
        <f t="shared" si="4"/>
        <v>2026</v>
      </c>
      <c r="L433" s="30">
        <f t="shared" si="5"/>
        <v>0</v>
      </c>
    </row>
    <row r="434" ht="15.75" customHeight="1">
      <c r="A434" s="113">
        <v>46225.0</v>
      </c>
      <c r="B434" s="43" t="s">
        <v>614</v>
      </c>
      <c r="C434" s="43" t="s">
        <v>93</v>
      </c>
      <c r="D434" s="30" t="str">
        <f>IF(C434&lt;&gt;"",VLOOKUP(C434,ENSEIGNES!$B$2:$D971,2,FALSE),"")</f>
        <v>Centrale</v>
      </c>
      <c r="E434" s="30" t="str">
        <f>IF(C434&lt;&gt;"",VLOOKUP(C434,ENSEIGNES!$B$2:$D971,3,FALSE),"")</f>
        <v>CAP FRAIS</v>
      </c>
      <c r="F434" s="81">
        <v>559.13</v>
      </c>
      <c r="G434" s="32">
        <f t="shared" si="11"/>
        <v>589.88215</v>
      </c>
      <c r="H434" s="34">
        <f>IF(D434="Direct",PARAMETRES!$C$20,IF(D434="Centrale",PARAMETRES!$C$21,0))</f>
        <v>0.05</v>
      </c>
      <c r="I434" s="38">
        <f t="shared" si="2"/>
        <v>27.9565</v>
      </c>
      <c r="J434" s="40">
        <f t="shared" si="3"/>
        <v>7</v>
      </c>
      <c r="K434" s="40">
        <f t="shared" si="4"/>
        <v>2026</v>
      </c>
      <c r="L434" s="30">
        <f t="shared" si="5"/>
        <v>1</v>
      </c>
    </row>
    <row r="435" ht="15.75" customHeight="1">
      <c r="A435" s="113">
        <v>46218.0</v>
      </c>
      <c r="B435" s="43" t="s">
        <v>615</v>
      </c>
      <c r="C435" s="43" t="s">
        <v>93</v>
      </c>
      <c r="D435" s="30" t="str">
        <f>IF(C435&lt;&gt;"",VLOOKUP(C435,ENSEIGNES!$B$2:$D971,2,FALSE),"")</f>
        <v>Centrale</v>
      </c>
      <c r="E435" s="30" t="str">
        <f>IF(C435&lt;&gt;"",VLOOKUP(C435,ENSEIGNES!$B$2:$D971,3,FALSE),"")</f>
        <v>CAP FRAIS</v>
      </c>
      <c r="F435" s="81">
        <v>508.72</v>
      </c>
      <c r="G435" s="32">
        <f t="shared" si="11"/>
        <v>536.6996</v>
      </c>
      <c r="H435" s="34">
        <f>IF(D435="Direct",PARAMETRES!$C$20,IF(D435="Centrale",PARAMETRES!$C$21,0))</f>
        <v>0.05</v>
      </c>
      <c r="I435" s="38">
        <f t="shared" si="2"/>
        <v>25.436</v>
      </c>
      <c r="J435" s="40">
        <f t="shared" si="3"/>
        <v>7</v>
      </c>
      <c r="K435" s="40">
        <f t="shared" si="4"/>
        <v>2026</v>
      </c>
      <c r="L435" s="30">
        <f t="shared" si="5"/>
        <v>0</v>
      </c>
    </row>
    <row r="436" ht="15.75" customHeight="1">
      <c r="A436" s="113">
        <v>46204.0</v>
      </c>
      <c r="B436" s="43" t="s">
        <v>616</v>
      </c>
      <c r="C436" s="43" t="s">
        <v>93</v>
      </c>
      <c r="D436" s="30" t="str">
        <f>IF(C436&lt;&gt;"",VLOOKUP(C436,ENSEIGNES!$B$2:$D971,2,FALSE),"")</f>
        <v>Centrale</v>
      </c>
      <c r="E436" s="30" t="str">
        <f>IF(C436&lt;&gt;"",VLOOKUP(C436,ENSEIGNES!$B$2:$D971,3,FALSE),"")</f>
        <v>CAP FRAIS</v>
      </c>
      <c r="F436" s="81">
        <v>430.81</v>
      </c>
      <c r="G436" s="32">
        <f t="shared" si="11"/>
        <v>454.50455</v>
      </c>
      <c r="H436" s="34">
        <f>IF(D436="Direct",PARAMETRES!$C$20,IF(D436="Centrale",PARAMETRES!$C$21,0))</f>
        <v>0.05</v>
      </c>
      <c r="I436" s="38">
        <f t="shared" si="2"/>
        <v>21.5405</v>
      </c>
      <c r="J436" s="40">
        <f t="shared" si="3"/>
        <v>7</v>
      </c>
      <c r="K436" s="40">
        <f t="shared" si="4"/>
        <v>2026</v>
      </c>
      <c r="L436" s="30">
        <f t="shared" si="5"/>
        <v>0</v>
      </c>
    </row>
    <row r="437" ht="15.75" customHeight="1">
      <c r="A437" s="113">
        <v>46231.0</v>
      </c>
      <c r="B437" s="43" t="s">
        <v>617</v>
      </c>
      <c r="C437" s="43" t="s">
        <v>92</v>
      </c>
      <c r="D437" s="30" t="str">
        <f>IF(C437&lt;&gt;"",VLOOKUP(C437,ENSEIGNES!$B$2:$D971,2,FALSE),"")</f>
        <v>Centrale</v>
      </c>
      <c r="E437" s="30" t="str">
        <f>IF(C437&lt;&gt;"",VLOOKUP(C437,ENSEIGNES!$B$2:$D971,3,FALSE),"")</f>
        <v>CAP FRAIS</v>
      </c>
      <c r="F437" s="81">
        <v>2166.95</v>
      </c>
      <c r="G437" s="32">
        <f t="shared" si="11"/>
        <v>2286.13225</v>
      </c>
      <c r="H437" s="34">
        <f>IF(D437="Direct",PARAMETRES!$C$20,IF(D437="Centrale",PARAMETRES!$C$21,0))</f>
        <v>0.05</v>
      </c>
      <c r="I437" s="38">
        <f t="shared" si="2"/>
        <v>108.3475</v>
      </c>
      <c r="J437" s="40">
        <f t="shared" si="3"/>
        <v>7</v>
      </c>
      <c r="K437" s="40">
        <f t="shared" si="4"/>
        <v>2026</v>
      </c>
      <c r="L437" s="30">
        <f t="shared" si="5"/>
        <v>1</v>
      </c>
    </row>
    <row r="438" ht="15.75" customHeight="1">
      <c r="A438" s="113">
        <v>46224.0</v>
      </c>
      <c r="B438" s="43" t="s">
        <v>618</v>
      </c>
      <c r="C438" s="43" t="s">
        <v>92</v>
      </c>
      <c r="D438" s="30" t="str">
        <f>IF(C438&lt;&gt;"",VLOOKUP(C438,ENSEIGNES!$B$2:$D971,2,FALSE),"")</f>
        <v>Centrale</v>
      </c>
      <c r="E438" s="30" t="str">
        <f>IF(C438&lt;&gt;"",VLOOKUP(C438,ENSEIGNES!$B$2:$D971,3,FALSE),"")</f>
        <v>CAP FRAIS</v>
      </c>
      <c r="F438" s="81">
        <v>1417.35</v>
      </c>
      <c r="G438" s="32">
        <f t="shared" si="11"/>
        <v>1495.30425</v>
      </c>
      <c r="H438" s="34">
        <f>IF(D438="Direct",PARAMETRES!$C$20,IF(D438="Centrale",PARAMETRES!$C$21,0))</f>
        <v>0.05</v>
      </c>
      <c r="I438" s="38">
        <f t="shared" si="2"/>
        <v>70.8675</v>
      </c>
      <c r="J438" s="40">
        <f t="shared" si="3"/>
        <v>7</v>
      </c>
      <c r="K438" s="40">
        <f t="shared" si="4"/>
        <v>2026</v>
      </c>
      <c r="L438" s="30">
        <f t="shared" si="5"/>
        <v>0</v>
      </c>
    </row>
    <row r="439" ht="15.75" customHeight="1">
      <c r="A439" s="113">
        <v>46216.0</v>
      </c>
      <c r="B439" s="43" t="s">
        <v>619</v>
      </c>
      <c r="C439" s="43" t="s">
        <v>92</v>
      </c>
      <c r="D439" s="30" t="str">
        <f>IF(C439&lt;&gt;"",VLOOKUP(C439,ENSEIGNES!$B$2:$D971,2,FALSE),"")</f>
        <v>Centrale</v>
      </c>
      <c r="E439" s="30" t="str">
        <f>IF(C439&lt;&gt;"",VLOOKUP(C439,ENSEIGNES!$B$2:$D971,3,FALSE),"")</f>
        <v>CAP FRAIS</v>
      </c>
      <c r="F439" s="81">
        <v>784.07</v>
      </c>
      <c r="G439" s="32">
        <f t="shared" si="11"/>
        <v>827.19385</v>
      </c>
      <c r="H439" s="34">
        <f>IF(D439="Direct",PARAMETRES!$C$20,IF(D439="Centrale",PARAMETRES!$C$21,0))</f>
        <v>0.05</v>
      </c>
      <c r="I439" s="38">
        <f t="shared" si="2"/>
        <v>39.2035</v>
      </c>
      <c r="J439" s="40">
        <f t="shared" si="3"/>
        <v>7</v>
      </c>
      <c r="K439" s="40">
        <f t="shared" si="4"/>
        <v>2026</v>
      </c>
      <c r="L439" s="30">
        <f t="shared" si="5"/>
        <v>0</v>
      </c>
    </row>
    <row r="440" ht="15.75" customHeight="1">
      <c r="A440" s="113">
        <v>46210.0</v>
      </c>
      <c r="B440" s="43" t="s">
        <v>620</v>
      </c>
      <c r="C440" s="43" t="s">
        <v>92</v>
      </c>
      <c r="D440" s="30" t="str">
        <f>IF(C440&lt;&gt;"",VLOOKUP(C440,ENSEIGNES!$B$2:$D971,2,FALSE),"")</f>
        <v>Centrale</v>
      </c>
      <c r="E440" s="30" t="str">
        <f>IF(C440&lt;&gt;"",VLOOKUP(C440,ENSEIGNES!$B$2:$D971,3,FALSE),"")</f>
        <v>CAP FRAIS</v>
      </c>
      <c r="F440" s="81">
        <v>771.14</v>
      </c>
      <c r="G440" s="32">
        <f t="shared" si="11"/>
        <v>813.5527</v>
      </c>
      <c r="H440" s="34">
        <f>IF(D440="Direct",PARAMETRES!$C$20,IF(D440="Centrale",PARAMETRES!$C$21,0))</f>
        <v>0.05</v>
      </c>
      <c r="I440" s="38">
        <f t="shared" si="2"/>
        <v>38.557</v>
      </c>
      <c r="J440" s="40">
        <f t="shared" si="3"/>
        <v>7</v>
      </c>
      <c r="K440" s="40">
        <f t="shared" si="4"/>
        <v>2026</v>
      </c>
      <c r="L440" s="30">
        <f t="shared" si="5"/>
        <v>0</v>
      </c>
    </row>
    <row r="441" ht="15.75" customHeight="1">
      <c r="A441" s="113">
        <v>46260.0</v>
      </c>
      <c r="B441" s="43" t="s">
        <v>621</v>
      </c>
      <c r="C441" s="43" t="s">
        <v>91</v>
      </c>
      <c r="D441" s="30" t="str">
        <f>IF(C441&lt;&gt;"",VLOOKUP(C441,ENSEIGNES!$B$2:$D971,2,FALSE),"")</f>
        <v>Centrale</v>
      </c>
      <c r="E441" s="30" t="str">
        <f>IF(C441&lt;&gt;"",VLOOKUP(C441,ENSEIGNES!$B$2:$D971,3,FALSE),"")</f>
        <v>CAP FRAIS</v>
      </c>
      <c r="F441" s="81">
        <v>399.04</v>
      </c>
      <c r="G441" s="32">
        <f t="shared" si="11"/>
        <v>420.9872</v>
      </c>
      <c r="H441" s="34">
        <f>IF(D441="Direct",PARAMETRES!$C$20,IF(D441="Centrale",PARAMETRES!$C$21,0))</f>
        <v>0.05</v>
      </c>
      <c r="I441" s="38">
        <f t="shared" si="2"/>
        <v>19.952</v>
      </c>
      <c r="J441" s="40">
        <f t="shared" si="3"/>
        <v>8</v>
      </c>
      <c r="K441" s="40">
        <f t="shared" si="4"/>
        <v>2026</v>
      </c>
      <c r="L441" s="30">
        <f t="shared" si="5"/>
        <v>1</v>
      </c>
    </row>
    <row r="442" ht="15.75" customHeight="1">
      <c r="A442" s="113">
        <v>46260.0</v>
      </c>
      <c r="B442" s="43" t="s">
        <v>622</v>
      </c>
      <c r="C442" s="43" t="s">
        <v>91</v>
      </c>
      <c r="D442" s="30" t="str">
        <f>IF(C442&lt;&gt;"",VLOOKUP(C442,ENSEIGNES!$B$2:$D971,2,FALSE),"")</f>
        <v>Centrale</v>
      </c>
      <c r="E442" s="30" t="str">
        <f>IF(C442&lt;&gt;"",VLOOKUP(C442,ENSEIGNES!$B$2:$D971,3,FALSE),"")</f>
        <v>CAP FRAIS</v>
      </c>
      <c r="F442" s="81">
        <v>422.24</v>
      </c>
      <c r="G442" s="32">
        <f t="shared" si="11"/>
        <v>445.4632</v>
      </c>
      <c r="H442" s="34">
        <f>IF(D442="Direct",PARAMETRES!$C$20,IF(D442="Centrale",PARAMETRES!$C$21,0))</f>
        <v>0.05</v>
      </c>
      <c r="I442" s="38">
        <f t="shared" si="2"/>
        <v>21.112</v>
      </c>
      <c r="J442" s="40">
        <f t="shared" si="3"/>
        <v>8</v>
      </c>
      <c r="K442" s="40">
        <f t="shared" si="4"/>
        <v>2026</v>
      </c>
      <c r="L442" s="30">
        <f t="shared" si="5"/>
        <v>0</v>
      </c>
    </row>
    <row r="443" ht="15.75" customHeight="1">
      <c r="A443" s="113">
        <v>46259.0</v>
      </c>
      <c r="B443" s="43" t="s">
        <v>623</v>
      </c>
      <c r="C443" s="43" t="s">
        <v>91</v>
      </c>
      <c r="D443" s="30" t="str">
        <f>IF(C443&lt;&gt;"",VLOOKUP(C443,ENSEIGNES!$B$2:$D971,2,FALSE),"")</f>
        <v>Centrale</v>
      </c>
      <c r="E443" s="30" t="str">
        <f>IF(C443&lt;&gt;"",VLOOKUP(C443,ENSEIGNES!$B$2:$D971,3,FALSE),"")</f>
        <v>CAP FRAIS</v>
      </c>
      <c r="F443" s="81">
        <v>334.08</v>
      </c>
      <c r="G443" s="32">
        <f t="shared" si="11"/>
        <v>352.4544</v>
      </c>
      <c r="H443" s="34">
        <f>IF(D443="Direct",PARAMETRES!$C$20,IF(D443="Centrale",PARAMETRES!$C$21,0))</f>
        <v>0.05</v>
      </c>
      <c r="I443" s="38">
        <f t="shared" si="2"/>
        <v>16.704</v>
      </c>
      <c r="J443" s="40">
        <f t="shared" si="3"/>
        <v>8</v>
      </c>
      <c r="K443" s="40">
        <f t="shared" si="4"/>
        <v>2026</v>
      </c>
      <c r="L443" s="30">
        <f t="shared" si="5"/>
        <v>0</v>
      </c>
    </row>
    <row r="444" ht="15.75" customHeight="1">
      <c r="A444" s="113">
        <v>46259.0</v>
      </c>
      <c r="B444" s="43" t="s">
        <v>624</v>
      </c>
      <c r="C444" s="43" t="s">
        <v>91</v>
      </c>
      <c r="D444" s="30" t="str">
        <f>IF(C444&lt;&gt;"",VLOOKUP(C444,ENSEIGNES!$B$2:$D971,2,FALSE),"")</f>
        <v>Centrale</v>
      </c>
      <c r="E444" s="30" t="str">
        <f>IF(C444&lt;&gt;"",VLOOKUP(C444,ENSEIGNES!$B$2:$D971,3,FALSE),"")</f>
        <v>CAP FRAIS</v>
      </c>
      <c r="F444" s="81">
        <v>422.24</v>
      </c>
      <c r="G444" s="32">
        <f t="shared" si="11"/>
        <v>445.4632</v>
      </c>
      <c r="H444" s="34">
        <f>IF(D444="Direct",PARAMETRES!$C$20,IF(D444="Centrale",PARAMETRES!$C$21,0))</f>
        <v>0.05</v>
      </c>
      <c r="I444" s="38">
        <f t="shared" si="2"/>
        <v>21.112</v>
      </c>
      <c r="J444" s="40">
        <f t="shared" si="3"/>
        <v>8</v>
      </c>
      <c r="K444" s="40">
        <f t="shared" si="4"/>
        <v>2026</v>
      </c>
      <c r="L444" s="30">
        <f t="shared" si="5"/>
        <v>0</v>
      </c>
    </row>
    <row r="445" ht="15.75" customHeight="1">
      <c r="A445" s="113">
        <v>46258.0</v>
      </c>
      <c r="B445" s="43" t="s">
        <v>625</v>
      </c>
      <c r="C445" s="43" t="s">
        <v>91</v>
      </c>
      <c r="D445" s="30" t="str">
        <f>IF(C445&lt;&gt;"",VLOOKUP(C445,ENSEIGNES!$B$2:$D971,2,FALSE),"")</f>
        <v>Centrale</v>
      </c>
      <c r="E445" s="30" t="str">
        <f>IF(C445&lt;&gt;"",VLOOKUP(C445,ENSEIGNES!$B$2:$D971,3,FALSE),"")</f>
        <v>CAP FRAIS</v>
      </c>
      <c r="F445" s="81">
        <v>436.16</v>
      </c>
      <c r="G445" s="32">
        <f t="shared" si="11"/>
        <v>460.1488</v>
      </c>
      <c r="H445" s="34">
        <f>IF(D445="Direct",PARAMETRES!$C$20,IF(D445="Centrale",PARAMETRES!$C$21,0))</f>
        <v>0.05</v>
      </c>
      <c r="I445" s="38">
        <f t="shared" si="2"/>
        <v>21.808</v>
      </c>
      <c r="J445" s="40">
        <f t="shared" si="3"/>
        <v>8</v>
      </c>
      <c r="K445" s="40">
        <f t="shared" si="4"/>
        <v>2026</v>
      </c>
      <c r="L445" s="30">
        <f t="shared" si="5"/>
        <v>0</v>
      </c>
    </row>
    <row r="446" ht="15.75" customHeight="1">
      <c r="A446" s="113">
        <v>46237.0</v>
      </c>
      <c r="B446" s="43" t="s">
        <v>626</v>
      </c>
      <c r="C446" s="43" t="s">
        <v>91</v>
      </c>
      <c r="D446" s="30" t="str">
        <f>IF(C446&lt;&gt;"",VLOOKUP(C446,ENSEIGNES!$B$2:$D971,2,FALSE),"")</f>
        <v>Centrale</v>
      </c>
      <c r="E446" s="30" t="str">
        <f>IF(C446&lt;&gt;"",VLOOKUP(C446,ENSEIGNES!$B$2:$D971,3,FALSE),"")</f>
        <v>CAP FRAIS</v>
      </c>
      <c r="F446" s="81">
        <v>454.7</v>
      </c>
      <c r="G446" s="32">
        <f t="shared" si="11"/>
        <v>479.7085</v>
      </c>
      <c r="H446" s="34">
        <f>IF(D446="Direct",PARAMETRES!$C$20,IF(D446="Centrale",PARAMETRES!$C$21,0))</f>
        <v>0.05</v>
      </c>
      <c r="I446" s="38">
        <f t="shared" si="2"/>
        <v>22.735</v>
      </c>
      <c r="J446" s="40">
        <f t="shared" si="3"/>
        <v>8</v>
      </c>
      <c r="K446" s="40">
        <f t="shared" si="4"/>
        <v>2026</v>
      </c>
      <c r="L446" s="30">
        <f t="shared" si="5"/>
        <v>0</v>
      </c>
    </row>
    <row r="447" ht="15.75" customHeight="1">
      <c r="A447" s="113">
        <v>46260.0</v>
      </c>
      <c r="B447" s="43" t="s">
        <v>627</v>
      </c>
      <c r="C447" s="43" t="s">
        <v>7</v>
      </c>
      <c r="D447" s="30" t="str">
        <f>IF(C447&lt;&gt;"",VLOOKUP(C447,ENSEIGNES!$B$2:$D971,2,FALSE),"")</f>
        <v>Centrale</v>
      </c>
      <c r="E447" s="30" t="str">
        <f>IF(C447&lt;&gt;"",VLOOKUP(C447,ENSEIGNES!$B$2:$D971,3,FALSE),"")</f>
        <v>BROCARD</v>
      </c>
      <c r="F447" s="81">
        <v>180.94</v>
      </c>
      <c r="G447" s="32">
        <f t="shared" si="11"/>
        <v>190.8917</v>
      </c>
      <c r="H447" s="34">
        <f>IF(D447="Direct",PARAMETRES!$C$20,IF(D447="Centrale",PARAMETRES!$C$21,0))</f>
        <v>0.05</v>
      </c>
      <c r="I447" s="38">
        <f t="shared" si="2"/>
        <v>9.047</v>
      </c>
      <c r="J447" s="40">
        <f t="shared" si="3"/>
        <v>8</v>
      </c>
      <c r="K447" s="40">
        <f t="shared" si="4"/>
        <v>2026</v>
      </c>
      <c r="L447" s="30">
        <f t="shared" si="5"/>
        <v>1</v>
      </c>
    </row>
    <row r="448" ht="15.75" customHeight="1">
      <c r="A448" s="113">
        <v>46260.0</v>
      </c>
      <c r="B448" s="43" t="s">
        <v>628</v>
      </c>
      <c r="C448" s="43" t="s">
        <v>7</v>
      </c>
      <c r="D448" s="30" t="str">
        <f>IF(C448&lt;&gt;"",VLOOKUP(C448,ENSEIGNES!$B$2:$D971,2,FALSE),"")</f>
        <v>Centrale</v>
      </c>
      <c r="E448" s="30" t="str">
        <f>IF(C448&lt;&gt;"",VLOOKUP(C448,ENSEIGNES!$B$2:$D971,3,FALSE),"")</f>
        <v>BROCARD</v>
      </c>
      <c r="F448" s="81">
        <v>361.88</v>
      </c>
      <c r="G448" s="32">
        <f t="shared" si="11"/>
        <v>381.7834</v>
      </c>
      <c r="H448" s="34">
        <f>IF(D448="Direct",PARAMETRES!$C$20,IF(D448="Centrale",PARAMETRES!$C$21,0))</f>
        <v>0.05</v>
      </c>
      <c r="I448" s="38">
        <f t="shared" si="2"/>
        <v>18.094</v>
      </c>
      <c r="J448" s="40">
        <f t="shared" si="3"/>
        <v>8</v>
      </c>
      <c r="K448" s="40">
        <f t="shared" si="4"/>
        <v>2026</v>
      </c>
      <c r="L448" s="30">
        <f t="shared" si="5"/>
        <v>0</v>
      </c>
    </row>
    <row r="449" ht="15.75" customHeight="1">
      <c r="A449" s="113">
        <v>46260.0</v>
      </c>
      <c r="B449" s="43" t="s">
        <v>629</v>
      </c>
      <c r="C449" s="43" t="s">
        <v>7</v>
      </c>
      <c r="D449" s="30" t="str">
        <f>IF(C449&lt;&gt;"",VLOOKUP(C449,ENSEIGNES!$B$2:$D971,2,FALSE),"")</f>
        <v>Centrale</v>
      </c>
      <c r="E449" s="30" t="str">
        <f>IF(C449&lt;&gt;"",VLOOKUP(C449,ENSEIGNES!$B$2:$D971,3,FALSE),"")</f>
        <v>BROCARD</v>
      </c>
      <c r="F449" s="81">
        <v>348.95</v>
      </c>
      <c r="G449" s="32">
        <f t="shared" si="11"/>
        <v>368.14225</v>
      </c>
      <c r="H449" s="34">
        <f>IF(D449="Direct",PARAMETRES!$C$20,IF(D449="Centrale",PARAMETRES!$C$21,0))</f>
        <v>0.05</v>
      </c>
      <c r="I449" s="38">
        <f t="shared" si="2"/>
        <v>17.4475</v>
      </c>
      <c r="J449" s="40">
        <f t="shared" si="3"/>
        <v>8</v>
      </c>
      <c r="K449" s="40">
        <f t="shared" si="4"/>
        <v>2026</v>
      </c>
      <c r="L449" s="30">
        <f t="shared" si="5"/>
        <v>0</v>
      </c>
    </row>
    <row r="450" ht="15.75" customHeight="1">
      <c r="A450" s="113">
        <v>46255.0</v>
      </c>
      <c r="B450" s="43" t="s">
        <v>630</v>
      </c>
      <c r="C450" s="43" t="s">
        <v>7</v>
      </c>
      <c r="D450" s="30" t="str">
        <f>IF(C450&lt;&gt;"",VLOOKUP(C450,ENSEIGNES!$B$2:$D971,2,FALSE),"")</f>
        <v>Centrale</v>
      </c>
      <c r="E450" s="30" t="str">
        <f>IF(C450&lt;&gt;"",VLOOKUP(C450,ENSEIGNES!$B$2:$D971,3,FALSE),"")</f>
        <v>BROCARD</v>
      </c>
      <c r="F450" s="81">
        <v>400.65</v>
      </c>
      <c r="G450" s="32">
        <f t="shared" si="11"/>
        <v>422.68575</v>
      </c>
      <c r="H450" s="34">
        <f>IF(D450="Direct",PARAMETRES!$C$20,IF(D450="Centrale",PARAMETRES!$C$21,0))</f>
        <v>0.05</v>
      </c>
      <c r="I450" s="38">
        <f t="shared" si="2"/>
        <v>20.0325</v>
      </c>
      <c r="J450" s="40">
        <f t="shared" si="3"/>
        <v>8</v>
      </c>
      <c r="K450" s="40">
        <f t="shared" si="4"/>
        <v>2026</v>
      </c>
      <c r="L450" s="30">
        <f t="shared" si="5"/>
        <v>0</v>
      </c>
    </row>
    <row r="451" ht="15.75" customHeight="1">
      <c r="A451" s="113">
        <v>46255.0</v>
      </c>
      <c r="B451" s="43" t="s">
        <v>631</v>
      </c>
      <c r="C451" s="43" t="s">
        <v>7</v>
      </c>
      <c r="D451" s="30" t="str">
        <f>IF(C451&lt;&gt;"",VLOOKUP(C451,ENSEIGNES!$B$2:$D971,2,FALSE),"")</f>
        <v>Centrale</v>
      </c>
      <c r="E451" s="30" t="str">
        <f>IF(C451&lt;&gt;"",VLOOKUP(C451,ENSEIGNES!$B$2:$D971,3,FALSE),"")</f>
        <v>BROCARD</v>
      </c>
      <c r="F451" s="81">
        <v>396.34</v>
      </c>
      <c r="G451" s="32">
        <f t="shared" si="11"/>
        <v>418.1387</v>
      </c>
      <c r="H451" s="34">
        <f>IF(D451="Direct",PARAMETRES!$C$20,IF(D451="Centrale",PARAMETRES!$C$21,0))</f>
        <v>0.05</v>
      </c>
      <c r="I451" s="38">
        <f t="shared" si="2"/>
        <v>19.817</v>
      </c>
      <c r="J451" s="40">
        <f t="shared" si="3"/>
        <v>8</v>
      </c>
      <c r="K451" s="40">
        <f t="shared" si="4"/>
        <v>2026</v>
      </c>
      <c r="L451" s="30">
        <f t="shared" si="5"/>
        <v>0</v>
      </c>
    </row>
    <row r="452" ht="15.75" customHeight="1">
      <c r="A452" s="113">
        <v>46253.0</v>
      </c>
      <c r="B452" s="43" t="s">
        <v>632</v>
      </c>
      <c r="C452" s="43" t="s">
        <v>7</v>
      </c>
      <c r="D452" s="30" t="str">
        <f>IF(C452&lt;&gt;"",VLOOKUP(C452,ENSEIGNES!$B$2:$D971,2,FALSE),"")</f>
        <v>Centrale</v>
      </c>
      <c r="E452" s="30" t="str">
        <f>IF(C452&lt;&gt;"",VLOOKUP(C452,ENSEIGNES!$B$2:$D971,3,FALSE),"")</f>
        <v>BROCARD</v>
      </c>
      <c r="F452" s="81">
        <v>180.94</v>
      </c>
      <c r="G452" s="32">
        <f t="shared" si="11"/>
        <v>190.8917</v>
      </c>
      <c r="H452" s="34">
        <f>IF(D452="Direct",PARAMETRES!$C$20,IF(D452="Centrale",PARAMETRES!$C$21,0))</f>
        <v>0.05</v>
      </c>
      <c r="I452" s="38">
        <f t="shared" si="2"/>
        <v>9.047</v>
      </c>
      <c r="J452" s="40">
        <f t="shared" si="3"/>
        <v>8</v>
      </c>
      <c r="K452" s="40">
        <f t="shared" si="4"/>
        <v>2026</v>
      </c>
      <c r="L452" s="30">
        <f t="shared" si="5"/>
        <v>0</v>
      </c>
    </row>
    <row r="453" ht="15.75" customHeight="1">
      <c r="A453" s="113">
        <v>46253.0</v>
      </c>
      <c r="B453" s="43" t="s">
        <v>633</v>
      </c>
      <c r="C453" s="43" t="s">
        <v>7</v>
      </c>
      <c r="D453" s="30" t="str">
        <f>IF(C453&lt;&gt;"",VLOOKUP(C453,ENSEIGNES!$B$2:$D971,2,FALSE),"")</f>
        <v>Centrale</v>
      </c>
      <c r="E453" s="30" t="str">
        <f>IF(C453&lt;&gt;"",VLOOKUP(C453,ENSEIGNES!$B$2:$D971,3,FALSE),"")</f>
        <v>BROCARD</v>
      </c>
      <c r="F453" s="81">
        <v>409.27</v>
      </c>
      <c r="G453" s="32">
        <f t="shared" si="11"/>
        <v>431.77985</v>
      </c>
      <c r="H453" s="34">
        <f>IF(D453="Direct",PARAMETRES!$C$20,IF(D453="Centrale",PARAMETRES!$C$21,0))</f>
        <v>0.05</v>
      </c>
      <c r="I453" s="38">
        <f t="shared" si="2"/>
        <v>20.4635</v>
      </c>
      <c r="J453" s="40">
        <f t="shared" si="3"/>
        <v>8</v>
      </c>
      <c r="K453" s="40">
        <f t="shared" si="4"/>
        <v>2026</v>
      </c>
      <c r="L453" s="30">
        <f t="shared" si="5"/>
        <v>0</v>
      </c>
    </row>
    <row r="454" ht="15.75" customHeight="1">
      <c r="A454" s="113">
        <v>46253.0</v>
      </c>
      <c r="B454" s="43" t="s">
        <v>634</v>
      </c>
      <c r="C454" s="43" t="s">
        <v>7</v>
      </c>
      <c r="D454" s="30" t="str">
        <f>IF(C454&lt;&gt;"",VLOOKUP(C454,ENSEIGNES!$B$2:$D971,2,FALSE),"")</f>
        <v>Centrale</v>
      </c>
      <c r="E454" s="30" t="str">
        <f>IF(C454&lt;&gt;"",VLOOKUP(C454,ENSEIGNES!$B$2:$D971,3,FALSE),"")</f>
        <v>BROCARD</v>
      </c>
      <c r="F454" s="81">
        <v>478.19</v>
      </c>
      <c r="G454" s="32">
        <f t="shared" si="11"/>
        <v>504.49045</v>
      </c>
      <c r="H454" s="34">
        <f>IF(D454="Direct",PARAMETRES!$C$20,IF(D454="Centrale",PARAMETRES!$C$21,0))</f>
        <v>0.05</v>
      </c>
      <c r="I454" s="38">
        <f t="shared" si="2"/>
        <v>23.9095</v>
      </c>
      <c r="J454" s="40">
        <f t="shared" si="3"/>
        <v>8</v>
      </c>
      <c r="K454" s="40">
        <f t="shared" si="4"/>
        <v>2026</v>
      </c>
      <c r="L454" s="30">
        <f t="shared" si="5"/>
        <v>0</v>
      </c>
    </row>
    <row r="455" ht="15.75" customHeight="1">
      <c r="A455" s="113">
        <v>46251.0</v>
      </c>
      <c r="B455" s="43" t="s">
        <v>635</v>
      </c>
      <c r="C455" s="43" t="s">
        <v>7</v>
      </c>
      <c r="D455" s="30" t="str">
        <f>IF(C455&lt;&gt;"",VLOOKUP(C455,ENSEIGNES!$B$2:$D971,2,FALSE),"")</f>
        <v>Centrale</v>
      </c>
      <c r="E455" s="30" t="str">
        <f>IF(C455&lt;&gt;"",VLOOKUP(C455,ENSEIGNES!$B$2:$D971,3,FALSE),"")</f>
        <v>BROCARD</v>
      </c>
      <c r="F455" s="81">
        <v>159.4</v>
      </c>
      <c r="G455" s="32">
        <f t="shared" si="11"/>
        <v>168.167</v>
      </c>
      <c r="H455" s="34">
        <f>IF(D455="Direct",PARAMETRES!$C$20,IF(D455="Centrale",PARAMETRES!$C$21,0))</f>
        <v>0.05</v>
      </c>
      <c r="I455" s="38">
        <f t="shared" si="2"/>
        <v>7.97</v>
      </c>
      <c r="J455" s="40">
        <f t="shared" si="3"/>
        <v>8</v>
      </c>
      <c r="K455" s="40">
        <f t="shared" si="4"/>
        <v>2026</v>
      </c>
      <c r="L455" s="30">
        <f t="shared" si="5"/>
        <v>0</v>
      </c>
    </row>
    <row r="456" ht="15.75" customHeight="1">
      <c r="A456" s="113">
        <v>46246.0</v>
      </c>
      <c r="B456" s="43" t="s">
        <v>636</v>
      </c>
      <c r="C456" s="43" t="s">
        <v>7</v>
      </c>
      <c r="D456" s="30" t="str">
        <f>IF(C456&lt;&gt;"",VLOOKUP(C456,ENSEIGNES!$B$2:$D971,2,FALSE),"")</f>
        <v>Centrale</v>
      </c>
      <c r="E456" s="30" t="str">
        <f>IF(C456&lt;&gt;"",VLOOKUP(C456,ENSEIGNES!$B$2:$D971,3,FALSE),"")</f>
        <v>BROCARD</v>
      </c>
      <c r="F456" s="81">
        <v>228.33</v>
      </c>
      <c r="G456" s="32">
        <f t="shared" si="11"/>
        <v>240.88815</v>
      </c>
      <c r="H456" s="34">
        <f>IF(D456="Direct",PARAMETRES!$C$20,IF(D456="Centrale",PARAMETRES!$C$21,0))</f>
        <v>0.05</v>
      </c>
      <c r="I456" s="38">
        <f t="shared" si="2"/>
        <v>11.4165</v>
      </c>
      <c r="J456" s="40">
        <f t="shared" si="3"/>
        <v>8</v>
      </c>
      <c r="K456" s="40">
        <f t="shared" si="4"/>
        <v>2026</v>
      </c>
      <c r="L456" s="30">
        <f t="shared" si="5"/>
        <v>0</v>
      </c>
    </row>
    <row r="457" ht="15.75" customHeight="1">
      <c r="A457" s="113">
        <v>46246.0</v>
      </c>
      <c r="B457" s="43" t="s">
        <v>637</v>
      </c>
      <c r="C457" s="43" t="s">
        <v>7</v>
      </c>
      <c r="D457" s="30" t="str">
        <f>IF(C457&lt;&gt;"",VLOOKUP(C457,ENSEIGNES!$B$2:$D971,2,FALSE),"")</f>
        <v>Centrale</v>
      </c>
      <c r="E457" s="30" t="str">
        <f>IF(C457&lt;&gt;"",VLOOKUP(C457,ENSEIGNES!$B$2:$D971,3,FALSE),"")</f>
        <v>BROCARD</v>
      </c>
      <c r="F457" s="81">
        <v>331.72</v>
      </c>
      <c r="G457" s="32">
        <f t="shared" si="11"/>
        <v>349.9646</v>
      </c>
      <c r="H457" s="34">
        <f>IF(D457="Direct",PARAMETRES!$C$20,IF(D457="Centrale",PARAMETRES!$C$21,0))</f>
        <v>0.05</v>
      </c>
      <c r="I457" s="38">
        <f t="shared" si="2"/>
        <v>16.586</v>
      </c>
      <c r="J457" s="40">
        <f t="shared" si="3"/>
        <v>8</v>
      </c>
      <c r="K457" s="40">
        <f t="shared" si="4"/>
        <v>2026</v>
      </c>
      <c r="L457" s="30">
        <f t="shared" si="5"/>
        <v>0</v>
      </c>
    </row>
    <row r="458" ht="15.75" customHeight="1">
      <c r="A458" s="113">
        <v>46246.0</v>
      </c>
      <c r="B458" s="43" t="s">
        <v>638</v>
      </c>
      <c r="C458" s="43" t="s">
        <v>7</v>
      </c>
      <c r="D458" s="30" t="str">
        <f>IF(C458&lt;&gt;"",VLOOKUP(C458,ENSEIGNES!$B$2:$D971,2,FALSE),"")</f>
        <v>Centrale</v>
      </c>
      <c r="E458" s="30" t="str">
        <f>IF(C458&lt;&gt;"",VLOOKUP(C458,ENSEIGNES!$B$2:$D971,3,FALSE),"")</f>
        <v>BROCARD</v>
      </c>
      <c r="F458" s="81">
        <v>353.26</v>
      </c>
      <c r="G458" s="32">
        <f t="shared" si="11"/>
        <v>372.6893</v>
      </c>
      <c r="H458" s="34">
        <f>IF(D458="Direct",PARAMETRES!$C$20,IF(D458="Centrale",PARAMETRES!$C$21,0))</f>
        <v>0.05</v>
      </c>
      <c r="I458" s="38">
        <f t="shared" si="2"/>
        <v>17.663</v>
      </c>
      <c r="J458" s="40">
        <f t="shared" si="3"/>
        <v>8</v>
      </c>
      <c r="K458" s="40">
        <f t="shared" si="4"/>
        <v>2026</v>
      </c>
      <c r="L458" s="30">
        <f t="shared" si="5"/>
        <v>0</v>
      </c>
    </row>
    <row r="459" ht="15.75" customHeight="1">
      <c r="A459" s="113">
        <v>46241.0</v>
      </c>
      <c r="B459" s="43" t="s">
        <v>639</v>
      </c>
      <c r="C459" s="43" t="s">
        <v>7</v>
      </c>
      <c r="D459" s="30" t="str">
        <f>IF(C459&lt;&gt;"",VLOOKUP(C459,ENSEIGNES!$B$2:$D971,2,FALSE),"")</f>
        <v>Centrale</v>
      </c>
      <c r="E459" s="30" t="str">
        <f>IF(C459&lt;&gt;"",VLOOKUP(C459,ENSEIGNES!$B$2:$D971,3,FALSE),"")</f>
        <v>BROCARD</v>
      </c>
      <c r="F459" s="81">
        <v>336.03</v>
      </c>
      <c r="G459" s="32">
        <f t="shared" si="11"/>
        <v>354.51165</v>
      </c>
      <c r="H459" s="34">
        <f>IF(D459="Direct",PARAMETRES!$C$20,IF(D459="Centrale",PARAMETRES!$C$21,0))</f>
        <v>0.05</v>
      </c>
      <c r="I459" s="38">
        <f t="shared" si="2"/>
        <v>16.8015</v>
      </c>
      <c r="J459" s="40">
        <f t="shared" si="3"/>
        <v>8</v>
      </c>
      <c r="K459" s="40">
        <f t="shared" si="4"/>
        <v>2026</v>
      </c>
      <c r="L459" s="30">
        <f t="shared" si="5"/>
        <v>0</v>
      </c>
    </row>
    <row r="460" ht="15.75" customHeight="1">
      <c r="A460" s="113">
        <v>46241.0</v>
      </c>
      <c r="B460" s="43" t="s">
        <v>640</v>
      </c>
      <c r="C460" s="43" t="s">
        <v>7</v>
      </c>
      <c r="D460" s="30" t="str">
        <f>IF(C460&lt;&gt;"",VLOOKUP(C460,ENSEIGNES!$B$2:$D971,2,FALSE),"")</f>
        <v>Centrale</v>
      </c>
      <c r="E460" s="30" t="str">
        <f>IF(C460&lt;&gt;"",VLOOKUP(C460,ENSEIGNES!$B$2:$D971,3,FALSE),"")</f>
        <v>BROCARD</v>
      </c>
      <c r="F460" s="81">
        <v>417.88</v>
      </c>
      <c r="G460" s="32">
        <f t="shared" si="11"/>
        <v>440.8634</v>
      </c>
      <c r="H460" s="34">
        <f>IF(D460="Direct",PARAMETRES!$C$20,IF(D460="Centrale",PARAMETRES!$C$21,0))</f>
        <v>0.05</v>
      </c>
      <c r="I460" s="38">
        <f t="shared" si="2"/>
        <v>20.894</v>
      </c>
      <c r="J460" s="40">
        <f t="shared" si="3"/>
        <v>8</v>
      </c>
      <c r="K460" s="40">
        <f t="shared" si="4"/>
        <v>2026</v>
      </c>
      <c r="L460" s="30">
        <f t="shared" si="5"/>
        <v>0</v>
      </c>
    </row>
    <row r="461" ht="15.75" customHeight="1">
      <c r="A461" s="113">
        <v>46239.0</v>
      </c>
      <c r="B461" s="43" t="s">
        <v>641</v>
      </c>
      <c r="C461" s="43" t="s">
        <v>7</v>
      </c>
      <c r="D461" s="30" t="str">
        <f>IF(C461&lt;&gt;"",VLOOKUP(C461,ENSEIGNES!$B$2:$D971,2,FALSE),"")</f>
        <v>Centrale</v>
      </c>
      <c r="E461" s="30" t="str">
        <f>IF(C461&lt;&gt;"",VLOOKUP(C461,ENSEIGNES!$B$2:$D971,3,FALSE),"")</f>
        <v>BROCARD</v>
      </c>
      <c r="F461" s="81">
        <v>185.25</v>
      </c>
      <c r="G461" s="32">
        <f t="shared" si="11"/>
        <v>195.43875</v>
      </c>
      <c r="H461" s="34">
        <f>IF(D461="Direct",PARAMETRES!$C$20,IF(D461="Centrale",PARAMETRES!$C$21,0))</f>
        <v>0.05</v>
      </c>
      <c r="I461" s="38">
        <f t="shared" si="2"/>
        <v>9.2625</v>
      </c>
      <c r="J461" s="40">
        <f t="shared" si="3"/>
        <v>8</v>
      </c>
      <c r="K461" s="40">
        <f t="shared" si="4"/>
        <v>2026</v>
      </c>
      <c r="L461" s="30">
        <f t="shared" si="5"/>
        <v>0</v>
      </c>
    </row>
    <row r="462" ht="15.75" customHeight="1">
      <c r="A462" s="113">
        <v>46239.0</v>
      </c>
      <c r="B462" s="43" t="s">
        <v>642</v>
      </c>
      <c r="C462" s="43" t="s">
        <v>7</v>
      </c>
      <c r="D462" s="30" t="str">
        <f>IF(C462&lt;&gt;"",VLOOKUP(C462,ENSEIGNES!$B$2:$D971,2,FALSE),"")</f>
        <v>Centrale</v>
      </c>
      <c r="E462" s="30" t="str">
        <f>IF(C462&lt;&gt;"",VLOOKUP(C462,ENSEIGNES!$B$2:$D971,3,FALSE),"")</f>
        <v>BROCARD</v>
      </c>
      <c r="F462" s="81">
        <v>491.12</v>
      </c>
      <c r="G462" s="32">
        <f t="shared" si="11"/>
        <v>518.1316</v>
      </c>
      <c r="H462" s="34">
        <f>IF(D462="Direct",PARAMETRES!$C$20,IF(D462="Centrale",PARAMETRES!$C$21,0))</f>
        <v>0.05</v>
      </c>
      <c r="I462" s="38">
        <f t="shared" si="2"/>
        <v>24.556</v>
      </c>
      <c r="J462" s="40">
        <f t="shared" si="3"/>
        <v>8</v>
      </c>
      <c r="K462" s="40">
        <f t="shared" si="4"/>
        <v>2026</v>
      </c>
      <c r="L462" s="30">
        <f t="shared" si="5"/>
        <v>0</v>
      </c>
    </row>
    <row r="463" ht="15.75" customHeight="1">
      <c r="A463" s="113">
        <v>46239.0</v>
      </c>
      <c r="B463" s="43" t="s">
        <v>643</v>
      </c>
      <c r="C463" s="43" t="s">
        <v>7</v>
      </c>
      <c r="D463" s="30" t="str">
        <f>IF(C463&lt;&gt;"",VLOOKUP(C463,ENSEIGNES!$B$2:$D971,2,FALSE),"")</f>
        <v>Centrale</v>
      </c>
      <c r="E463" s="30" t="str">
        <f>IF(C463&lt;&gt;"",VLOOKUP(C463,ENSEIGNES!$B$2:$D971,3,FALSE),"")</f>
        <v>BROCARD</v>
      </c>
      <c r="F463" s="81">
        <v>392.03</v>
      </c>
      <c r="G463" s="32">
        <f t="shared" si="11"/>
        <v>413.59165</v>
      </c>
      <c r="H463" s="34">
        <f>IF(D463="Direct",PARAMETRES!$C$20,IF(D463="Centrale",PARAMETRES!$C$21,0))</f>
        <v>0.05</v>
      </c>
      <c r="I463" s="38">
        <f t="shared" si="2"/>
        <v>19.6015</v>
      </c>
      <c r="J463" s="40">
        <f t="shared" si="3"/>
        <v>8</v>
      </c>
      <c r="K463" s="40">
        <f t="shared" si="4"/>
        <v>2026</v>
      </c>
      <c r="L463" s="30">
        <f t="shared" si="5"/>
        <v>0</v>
      </c>
    </row>
    <row r="464" ht="15.75" customHeight="1">
      <c r="A464" s="113">
        <v>46261.0</v>
      </c>
      <c r="B464" s="43" t="s">
        <v>644</v>
      </c>
      <c r="C464" s="43" t="s">
        <v>37</v>
      </c>
      <c r="D464" s="30" t="str">
        <f>IF(C464&lt;&gt;"",VLOOKUP(C464,ENSEIGNES!$B$2:$D971,2,FALSE),"")</f>
        <v>Centrale</v>
      </c>
      <c r="E464" s="30" t="str">
        <f>IF(C464&lt;&gt;"",VLOOKUP(C464,ENSEIGNES!$B$2:$D971,3,FALSE),"")</f>
        <v>CAP FRAIS</v>
      </c>
      <c r="F464" s="81">
        <v>426.5</v>
      </c>
      <c r="G464" s="32">
        <f t="shared" si="11"/>
        <v>449.9575</v>
      </c>
      <c r="H464" s="34">
        <f>IF(D464="Direct",PARAMETRES!$C$20,IF(D464="Centrale",PARAMETRES!$C$21,0))</f>
        <v>0.05</v>
      </c>
      <c r="I464" s="38">
        <f t="shared" si="2"/>
        <v>21.325</v>
      </c>
      <c r="J464" s="40">
        <f t="shared" si="3"/>
        <v>8</v>
      </c>
      <c r="K464" s="40">
        <f t="shared" si="4"/>
        <v>2026</v>
      </c>
      <c r="L464" s="30">
        <f t="shared" si="5"/>
        <v>1</v>
      </c>
    </row>
    <row r="465" ht="15.75" customHeight="1">
      <c r="A465" s="113">
        <v>46259.0</v>
      </c>
      <c r="B465" s="43" t="s">
        <v>645</v>
      </c>
      <c r="C465" s="43" t="s">
        <v>37</v>
      </c>
      <c r="D465" s="30" t="str">
        <f>IF(C465&lt;&gt;"",VLOOKUP(C465,ENSEIGNES!$B$2:$D971,2,FALSE),"")</f>
        <v>Centrale</v>
      </c>
      <c r="E465" s="30" t="str">
        <f>IF(C465&lt;&gt;"",VLOOKUP(C465,ENSEIGNES!$B$2:$D971,3,FALSE),"")</f>
        <v>CAP FRAIS</v>
      </c>
      <c r="F465" s="81">
        <v>236.94</v>
      </c>
      <c r="G465" s="32">
        <f t="shared" si="11"/>
        <v>249.9717</v>
      </c>
      <c r="H465" s="34">
        <f>IF(D465="Direct",PARAMETRES!$C$20,IF(D465="Centrale",PARAMETRES!$C$21,0))</f>
        <v>0.05</v>
      </c>
      <c r="I465" s="38">
        <f t="shared" si="2"/>
        <v>11.847</v>
      </c>
      <c r="J465" s="40">
        <f t="shared" si="3"/>
        <v>8</v>
      </c>
      <c r="K465" s="40">
        <f t="shared" si="4"/>
        <v>2026</v>
      </c>
      <c r="L465" s="30">
        <f t="shared" si="5"/>
        <v>0</v>
      </c>
    </row>
    <row r="466" ht="15.75" customHeight="1">
      <c r="A466" s="113">
        <v>46254.0</v>
      </c>
      <c r="B466" s="43" t="s">
        <v>646</v>
      </c>
      <c r="C466" s="43" t="s">
        <v>37</v>
      </c>
      <c r="D466" s="30" t="str">
        <f>IF(C466&lt;&gt;"",VLOOKUP(C466,ENSEIGNES!$B$2:$D971,2,FALSE),"")</f>
        <v>Centrale</v>
      </c>
      <c r="E466" s="30" t="str">
        <f>IF(C466&lt;&gt;"",VLOOKUP(C466,ENSEIGNES!$B$2:$D971,3,FALSE),"")</f>
        <v>CAP FRAIS</v>
      </c>
      <c r="F466" s="81">
        <v>426.5</v>
      </c>
      <c r="G466" s="32">
        <f t="shared" si="11"/>
        <v>449.9575</v>
      </c>
      <c r="H466" s="34">
        <f>IF(D466="Direct",PARAMETRES!$C$20,IF(D466="Centrale",PARAMETRES!$C$21,0))</f>
        <v>0.05</v>
      </c>
      <c r="I466" s="38">
        <f t="shared" si="2"/>
        <v>21.325</v>
      </c>
      <c r="J466" s="40">
        <f t="shared" si="3"/>
        <v>8</v>
      </c>
      <c r="K466" s="40">
        <f t="shared" si="4"/>
        <v>2026</v>
      </c>
      <c r="L466" s="30">
        <f t="shared" si="5"/>
        <v>0</v>
      </c>
    </row>
    <row r="467" ht="15.75" customHeight="1">
      <c r="A467" s="113">
        <v>46252.0</v>
      </c>
      <c r="B467" s="43" t="s">
        <v>647</v>
      </c>
      <c r="C467" s="43" t="s">
        <v>37</v>
      </c>
      <c r="D467" s="30" t="str">
        <f>IF(C467&lt;&gt;"",VLOOKUP(C467,ENSEIGNES!$B$2:$D971,2,FALSE),"")</f>
        <v>Centrale</v>
      </c>
      <c r="E467" s="30" t="str">
        <f>IF(C467&lt;&gt;"",VLOOKUP(C467,ENSEIGNES!$B$2:$D971,3,FALSE),"")</f>
        <v>CAP FRAIS</v>
      </c>
      <c r="F467" s="81">
        <v>267.1</v>
      </c>
      <c r="G467" s="32">
        <f t="shared" si="11"/>
        <v>281.7905</v>
      </c>
      <c r="H467" s="34">
        <f>IF(D467="Direct",PARAMETRES!$C$20,IF(D467="Centrale",PARAMETRES!$C$21,0))</f>
        <v>0.05</v>
      </c>
      <c r="I467" s="38">
        <f t="shared" si="2"/>
        <v>13.355</v>
      </c>
      <c r="J467" s="40">
        <f t="shared" si="3"/>
        <v>8</v>
      </c>
      <c r="K467" s="40">
        <f t="shared" si="4"/>
        <v>2026</v>
      </c>
      <c r="L467" s="30">
        <f t="shared" si="5"/>
        <v>0</v>
      </c>
    </row>
    <row r="468" ht="15.75" customHeight="1">
      <c r="A468" s="113">
        <v>46245.0</v>
      </c>
      <c r="B468" s="43" t="s">
        <v>648</v>
      </c>
      <c r="C468" s="43" t="s">
        <v>37</v>
      </c>
      <c r="D468" s="30" t="str">
        <f>IF(C468&lt;&gt;"",VLOOKUP(C468,ENSEIGNES!$B$2:$D971,2,FALSE),"")</f>
        <v>Centrale</v>
      </c>
      <c r="E468" s="30" t="str">
        <f>IF(C468&lt;&gt;"",VLOOKUP(C468,ENSEIGNES!$B$2:$D971,3,FALSE),"")</f>
        <v>CAP FRAIS</v>
      </c>
      <c r="F468" s="81">
        <v>525.58</v>
      </c>
      <c r="G468" s="32">
        <f t="shared" si="11"/>
        <v>554.4869</v>
      </c>
      <c r="H468" s="34">
        <f>IF(D468="Direct",PARAMETRES!$C$20,IF(D468="Centrale",PARAMETRES!$C$21,0))</f>
        <v>0.05</v>
      </c>
      <c r="I468" s="38">
        <f t="shared" si="2"/>
        <v>26.279</v>
      </c>
      <c r="J468" s="40">
        <f t="shared" si="3"/>
        <v>8</v>
      </c>
      <c r="K468" s="40">
        <f t="shared" si="4"/>
        <v>2026</v>
      </c>
      <c r="L468" s="30">
        <f t="shared" si="5"/>
        <v>0</v>
      </c>
    </row>
    <row r="469" ht="15.75" customHeight="1">
      <c r="A469" s="113">
        <v>46244.0</v>
      </c>
      <c r="B469" s="43" t="s">
        <v>649</v>
      </c>
      <c r="C469" s="43" t="s">
        <v>37</v>
      </c>
      <c r="D469" s="30" t="str">
        <f>IF(C469&lt;&gt;"",VLOOKUP(C469,ENSEIGNES!$B$2:$D971,2,FALSE),"")</f>
        <v>Centrale</v>
      </c>
      <c r="E469" s="30" t="str">
        <f>IF(C469&lt;&gt;"",VLOOKUP(C469,ENSEIGNES!$B$2:$D971,3,FALSE),"")</f>
        <v>CAP FRAIS</v>
      </c>
      <c r="F469" s="81">
        <v>193.86</v>
      </c>
      <c r="G469" s="32">
        <f t="shared" si="11"/>
        <v>204.5223</v>
      </c>
      <c r="H469" s="34">
        <f>IF(D469="Direct",PARAMETRES!$C$20,IF(D469="Centrale",PARAMETRES!$C$21,0))</f>
        <v>0.05</v>
      </c>
      <c r="I469" s="38">
        <f t="shared" si="2"/>
        <v>9.693</v>
      </c>
      <c r="J469" s="40">
        <f t="shared" si="3"/>
        <v>8</v>
      </c>
      <c r="K469" s="40">
        <f t="shared" si="4"/>
        <v>2026</v>
      </c>
      <c r="L469" s="30">
        <f t="shared" si="5"/>
        <v>0</v>
      </c>
    </row>
    <row r="470" ht="15.75" customHeight="1">
      <c r="A470" s="113">
        <v>46240.0</v>
      </c>
      <c r="B470" s="43" t="s">
        <v>650</v>
      </c>
      <c r="C470" s="43" t="s">
        <v>37</v>
      </c>
      <c r="D470" s="30" t="str">
        <f>IF(C470&lt;&gt;"",VLOOKUP(C470,ENSEIGNES!$B$2:$D971,2,FALSE),"")</f>
        <v>Centrale</v>
      </c>
      <c r="E470" s="30" t="str">
        <f>IF(C470&lt;&gt;"",VLOOKUP(C470,ENSEIGNES!$B$2:$D971,3,FALSE),"")</f>
        <v>CAP FRAIS</v>
      </c>
      <c r="F470" s="81">
        <v>917.62</v>
      </c>
      <c r="G470" s="32">
        <f t="shared" si="11"/>
        <v>968.0891</v>
      </c>
      <c r="H470" s="34">
        <f>IF(D470="Direct",PARAMETRES!$C$20,IF(D470="Centrale",PARAMETRES!$C$21,0))</f>
        <v>0.05</v>
      </c>
      <c r="I470" s="38">
        <f t="shared" si="2"/>
        <v>45.881</v>
      </c>
      <c r="J470" s="40">
        <f t="shared" si="3"/>
        <v>8</v>
      </c>
      <c r="K470" s="40">
        <f t="shared" si="4"/>
        <v>2026</v>
      </c>
      <c r="L470" s="30">
        <f t="shared" si="5"/>
        <v>0</v>
      </c>
    </row>
    <row r="471" ht="15.75" customHeight="1">
      <c r="A471" s="113">
        <v>46238.0</v>
      </c>
      <c r="B471" s="43" t="s">
        <v>651</v>
      </c>
      <c r="C471" s="43" t="s">
        <v>37</v>
      </c>
      <c r="D471" s="30" t="str">
        <f>IF(C471&lt;&gt;"",VLOOKUP(C471,ENSEIGNES!$B$2:$D971,2,FALSE),"")</f>
        <v>Centrale</v>
      </c>
      <c r="E471" s="30" t="str">
        <f>IF(C471&lt;&gt;"",VLOOKUP(C471,ENSEIGNES!$B$2:$D971,3,FALSE),"")</f>
        <v>CAP FRAIS</v>
      </c>
      <c r="F471" s="81">
        <v>331.72</v>
      </c>
      <c r="G471" s="32">
        <f t="shared" si="11"/>
        <v>349.9646</v>
      </c>
      <c r="H471" s="34">
        <f>IF(D471="Direct",PARAMETRES!$C$20,IF(D471="Centrale",PARAMETRES!$C$21,0))</f>
        <v>0.05</v>
      </c>
      <c r="I471" s="38">
        <f t="shared" si="2"/>
        <v>16.586</v>
      </c>
      <c r="J471" s="40">
        <f t="shared" si="3"/>
        <v>8</v>
      </c>
      <c r="K471" s="40">
        <f t="shared" si="4"/>
        <v>2026</v>
      </c>
      <c r="L471" s="30">
        <f t="shared" si="5"/>
        <v>0</v>
      </c>
    </row>
    <row r="472" ht="15.75" customHeight="1">
      <c r="A472" s="113">
        <v>46253.0</v>
      </c>
      <c r="B472" s="43" t="s">
        <v>652</v>
      </c>
      <c r="C472" s="43" t="s">
        <v>93</v>
      </c>
      <c r="D472" s="30" t="str">
        <f>IF(C472&lt;&gt;"",VLOOKUP(C472,ENSEIGNES!$B$2:$D971,2,FALSE),"")</f>
        <v>Centrale</v>
      </c>
      <c r="E472" s="30" t="str">
        <f>IF(C472&lt;&gt;"",VLOOKUP(C472,ENSEIGNES!$B$2:$D971,3,FALSE),"")</f>
        <v>CAP FRAIS</v>
      </c>
      <c r="F472" s="81">
        <v>426.22</v>
      </c>
      <c r="G472" s="32">
        <f t="shared" si="11"/>
        <v>449.6621</v>
      </c>
      <c r="H472" s="34">
        <f>IF(D472="Direct",PARAMETRES!$C$20,IF(D472="Centrale",PARAMETRES!$C$21,0))</f>
        <v>0.05</v>
      </c>
      <c r="I472" s="38">
        <f t="shared" si="2"/>
        <v>21.311</v>
      </c>
      <c r="J472" s="40">
        <f t="shared" si="3"/>
        <v>8</v>
      </c>
      <c r="K472" s="40">
        <f t="shared" si="4"/>
        <v>2026</v>
      </c>
      <c r="L472" s="30">
        <f t="shared" si="5"/>
        <v>1</v>
      </c>
    </row>
    <row r="473" ht="15.75" customHeight="1">
      <c r="A473" s="113">
        <v>46239.0</v>
      </c>
      <c r="B473" s="43" t="s">
        <v>653</v>
      </c>
      <c r="C473" s="43" t="s">
        <v>93</v>
      </c>
      <c r="D473" s="30" t="str">
        <f>IF(C473&lt;&gt;"",VLOOKUP(C473,ENSEIGNES!$B$2:$D971,2,FALSE),"")</f>
        <v>Centrale</v>
      </c>
      <c r="E473" s="30" t="str">
        <f>IF(C473&lt;&gt;"",VLOOKUP(C473,ENSEIGNES!$B$2:$D971,3,FALSE),"")</f>
        <v>CAP FRAIS</v>
      </c>
      <c r="F473" s="81">
        <v>403.31</v>
      </c>
      <c r="G473" s="32">
        <f t="shared" si="11"/>
        <v>425.49205</v>
      </c>
      <c r="H473" s="34">
        <f>IF(D473="Direct",PARAMETRES!$C$20,IF(D473="Centrale",PARAMETRES!$C$21,0))</f>
        <v>0.05</v>
      </c>
      <c r="I473" s="38">
        <f t="shared" si="2"/>
        <v>20.1655</v>
      </c>
      <c r="J473" s="40">
        <f t="shared" si="3"/>
        <v>8</v>
      </c>
      <c r="K473" s="40">
        <f t="shared" si="4"/>
        <v>2026</v>
      </c>
      <c r="L473" s="30">
        <f t="shared" si="5"/>
        <v>0</v>
      </c>
    </row>
    <row r="474" ht="15.75" customHeight="1">
      <c r="A474" s="113">
        <v>46259.0</v>
      </c>
      <c r="B474" s="43" t="s">
        <v>654</v>
      </c>
      <c r="C474" s="43" t="s">
        <v>92</v>
      </c>
      <c r="D474" s="30" t="str">
        <f>IF(C474&lt;&gt;"",VLOOKUP(C474,ENSEIGNES!$B$2:$D971,2,FALSE),"")</f>
        <v>Centrale</v>
      </c>
      <c r="E474" s="30" t="str">
        <f>IF(C474&lt;&gt;"",VLOOKUP(C474,ENSEIGNES!$B$2:$D971,3,FALSE),"")</f>
        <v>CAP FRAIS</v>
      </c>
      <c r="F474" s="81">
        <v>534.2</v>
      </c>
      <c r="G474" s="32">
        <f t="shared" si="11"/>
        <v>563.581</v>
      </c>
      <c r="H474" s="34">
        <f>IF(D474="Direct",PARAMETRES!$C$20,IF(D474="Centrale",PARAMETRES!$C$21,0))</f>
        <v>0.05</v>
      </c>
      <c r="I474" s="38">
        <f t="shared" si="2"/>
        <v>26.71</v>
      </c>
      <c r="J474" s="40">
        <f t="shared" si="3"/>
        <v>8</v>
      </c>
      <c r="K474" s="40">
        <f t="shared" si="4"/>
        <v>2026</v>
      </c>
      <c r="L474" s="30">
        <f t="shared" si="5"/>
        <v>1</v>
      </c>
    </row>
    <row r="475" ht="15.75" customHeight="1">
      <c r="A475" s="113">
        <v>46252.0</v>
      </c>
      <c r="B475" s="43" t="s">
        <v>655</v>
      </c>
      <c r="C475" s="43" t="s">
        <v>92</v>
      </c>
      <c r="D475" s="30" t="str">
        <f>IF(C475&lt;&gt;"",VLOOKUP(C475,ENSEIGNES!$B$2:$D971,2,FALSE),"")</f>
        <v>Centrale</v>
      </c>
      <c r="E475" s="30" t="str">
        <f>IF(C475&lt;&gt;"",VLOOKUP(C475,ENSEIGNES!$B$2:$D971,3,FALSE),"")</f>
        <v>CAP FRAIS</v>
      </c>
      <c r="F475" s="81">
        <v>0.0</v>
      </c>
      <c r="G475" s="32">
        <f t="shared" si="11"/>
        <v>0</v>
      </c>
      <c r="H475" s="34">
        <f>IF(D475="Direct",PARAMETRES!$C$20,IF(D475="Centrale",PARAMETRES!$C$21,0))</f>
        <v>0.05</v>
      </c>
      <c r="I475" s="38">
        <f t="shared" si="2"/>
        <v>0</v>
      </c>
      <c r="J475" s="40">
        <f t="shared" si="3"/>
        <v>8</v>
      </c>
      <c r="K475" s="40">
        <f t="shared" si="4"/>
        <v>2026</v>
      </c>
      <c r="L475" s="30">
        <f t="shared" si="5"/>
        <v>0</v>
      </c>
    </row>
    <row r="476" ht="15.75" customHeight="1">
      <c r="A476" s="113">
        <v>46252.0</v>
      </c>
      <c r="B476" s="43" t="s">
        <v>656</v>
      </c>
      <c r="C476" s="43" t="s">
        <v>92</v>
      </c>
      <c r="D476" s="30" t="str">
        <f>IF(C476&lt;&gt;"",VLOOKUP(C476,ENSEIGNES!$B$2:$D971,2,FALSE),"")</f>
        <v>Centrale</v>
      </c>
      <c r="E476" s="30" t="str">
        <f>IF(C476&lt;&gt;"",VLOOKUP(C476,ENSEIGNES!$B$2:$D971,3,FALSE),"")</f>
        <v>CAP FRAIS</v>
      </c>
      <c r="F476" s="81">
        <v>896.08</v>
      </c>
      <c r="G476" s="32">
        <f t="shared" si="11"/>
        <v>945.3644</v>
      </c>
      <c r="H476" s="34">
        <f>IF(D476="Direct",PARAMETRES!$C$20,IF(D476="Centrale",PARAMETRES!$C$21,0))</f>
        <v>0.05</v>
      </c>
      <c r="I476" s="38">
        <f t="shared" si="2"/>
        <v>44.804</v>
      </c>
      <c r="J476" s="40">
        <f t="shared" si="3"/>
        <v>8</v>
      </c>
      <c r="K476" s="40">
        <f t="shared" si="4"/>
        <v>2026</v>
      </c>
      <c r="L476" s="30">
        <f t="shared" si="5"/>
        <v>0</v>
      </c>
    </row>
    <row r="477" ht="15.75" customHeight="1">
      <c r="A477" s="113">
        <v>46245.0</v>
      </c>
      <c r="B477" s="43" t="s">
        <v>657</v>
      </c>
      <c r="C477" s="43" t="s">
        <v>92</v>
      </c>
      <c r="D477" s="30" t="str">
        <f>IF(C477&lt;&gt;"",VLOOKUP(C477,ENSEIGNES!$B$2:$D971,2,FALSE),"")</f>
        <v>Centrale</v>
      </c>
      <c r="E477" s="30" t="str">
        <f>IF(C477&lt;&gt;"",VLOOKUP(C477,ENSEIGNES!$B$2:$D971,3,FALSE),"")</f>
        <v>CAP FRAIS</v>
      </c>
      <c r="F477" s="81">
        <v>771.14</v>
      </c>
      <c r="G477" s="32">
        <f t="shared" si="11"/>
        <v>813.5527</v>
      </c>
      <c r="H477" s="34">
        <f>IF(D477="Direct",PARAMETRES!$C$20,IF(D477="Centrale",PARAMETRES!$C$21,0))</f>
        <v>0.05</v>
      </c>
      <c r="I477" s="38">
        <f t="shared" si="2"/>
        <v>38.557</v>
      </c>
      <c r="J477" s="40">
        <f t="shared" si="3"/>
        <v>8</v>
      </c>
      <c r="K477" s="40">
        <f t="shared" si="4"/>
        <v>2026</v>
      </c>
      <c r="L477" s="30">
        <f t="shared" si="5"/>
        <v>0</v>
      </c>
    </row>
    <row r="478" ht="15.75" customHeight="1">
      <c r="A478" s="113">
        <v>46238.0</v>
      </c>
      <c r="B478" s="43" t="s">
        <v>658</v>
      </c>
      <c r="C478" s="43" t="s">
        <v>92</v>
      </c>
      <c r="D478" s="30" t="str">
        <f>IF(C478&lt;&gt;"",VLOOKUP(C478,ENSEIGNES!$B$2:$D971,2,FALSE),"")</f>
        <v>Centrale</v>
      </c>
      <c r="E478" s="30" t="str">
        <f>IF(C478&lt;&gt;"",VLOOKUP(C478,ENSEIGNES!$B$2:$D971,3,FALSE),"")</f>
        <v>CAP FRAIS</v>
      </c>
      <c r="F478" s="81">
        <v>1029.63</v>
      </c>
      <c r="G478" s="32">
        <f t="shared" si="11"/>
        <v>1086.25965</v>
      </c>
      <c r="H478" s="34">
        <f>IF(D478="Direct",PARAMETRES!$C$20,IF(D478="Centrale",PARAMETRES!$C$21,0))</f>
        <v>0.05</v>
      </c>
      <c r="I478" s="38">
        <f t="shared" si="2"/>
        <v>51.4815</v>
      </c>
      <c r="J478" s="40">
        <f t="shared" si="3"/>
        <v>8</v>
      </c>
      <c r="K478" s="40">
        <f t="shared" si="4"/>
        <v>2026</v>
      </c>
      <c r="L478" s="30">
        <f t="shared" si="5"/>
        <v>0</v>
      </c>
    </row>
    <row r="479" ht="15.75" customHeight="1">
      <c r="A479" s="113">
        <v>46262.0</v>
      </c>
      <c r="B479" s="43" t="s">
        <v>659</v>
      </c>
      <c r="C479" s="43" t="s">
        <v>39</v>
      </c>
      <c r="D479" s="30" t="str">
        <f>IF(C479&lt;&gt;"",VLOOKUP(C479,ENSEIGNES!$B$2:$D971,2,FALSE),"")</f>
        <v>Direct</v>
      </c>
      <c r="E479" s="30" t="str">
        <f>IF(C479&lt;&gt;"",VLOOKUP(C479,ENSEIGNES!$B$2:$D971,3,FALSE),"")</f>
        <v>CAP FRAIS</v>
      </c>
      <c r="F479" s="81">
        <v>436.16</v>
      </c>
      <c r="G479" s="32">
        <f t="shared" si="11"/>
        <v>460.1488</v>
      </c>
      <c r="H479" s="34">
        <f>IF(D479="Direct",PARAMETRES!$C$20,IF(D479="Centrale",PARAMETRES!$C$21,0))</f>
        <v>0.07</v>
      </c>
      <c r="I479" s="38">
        <f t="shared" si="2"/>
        <v>30.5312</v>
      </c>
      <c r="J479" s="40">
        <f t="shared" si="3"/>
        <v>8</v>
      </c>
      <c r="K479" s="40">
        <f t="shared" si="4"/>
        <v>2026</v>
      </c>
      <c r="L479" s="30">
        <f t="shared" si="5"/>
        <v>1</v>
      </c>
    </row>
    <row r="480" ht="15.75" customHeight="1">
      <c r="A480" s="21"/>
      <c r="B480" s="23"/>
      <c r="C480" s="23"/>
      <c r="D480" s="30" t="str">
        <f>IF(C480&lt;&gt;"",VLOOKUP(C480,ENSEIGNES!$B$2:$D971,2,FALSE),"")</f>
        <v/>
      </c>
      <c r="E480" s="30" t="str">
        <f>IF(C480&lt;&gt;"",VLOOKUP(C480,ENSEIGNES!$B$2:$D971,3,FALSE),"")</f>
        <v/>
      </c>
      <c r="F480" s="31"/>
      <c r="G480" s="32">
        <f t="shared" si="11"/>
        <v>0</v>
      </c>
      <c r="H480" s="34">
        <f>IF(D480="Direct",PARAMETRES!$C$20,IF(D480="Centrale",PARAMETRES!$C$21,0))</f>
        <v>0</v>
      </c>
      <c r="I480" s="38">
        <f t="shared" si="2"/>
        <v>0</v>
      </c>
      <c r="J480" s="40" t="str">
        <f t="shared" si="3"/>
        <v/>
      </c>
      <c r="K480" s="40" t="str">
        <f t="shared" si="4"/>
        <v/>
      </c>
      <c r="L480" s="30">
        <f t="shared" si="5"/>
        <v>0</v>
      </c>
    </row>
    <row r="481" ht="15.75" customHeight="1">
      <c r="A481" s="21"/>
      <c r="B481" s="23"/>
      <c r="C481" s="23"/>
      <c r="D481" s="30" t="str">
        <f>IF(C481&lt;&gt;"",VLOOKUP(C481,ENSEIGNES!$B$2:$D971,2,FALSE),"")</f>
        <v/>
      </c>
      <c r="E481" s="30" t="str">
        <f>IF(C481&lt;&gt;"",VLOOKUP(C481,ENSEIGNES!$B$2:$D971,3,FALSE),"")</f>
        <v/>
      </c>
      <c r="F481" s="31"/>
      <c r="G481" s="32">
        <f t="shared" si="11"/>
        <v>0</v>
      </c>
      <c r="H481" s="34">
        <f>IF(D481="Direct",PARAMETRES!$C$20,IF(D481="Centrale",PARAMETRES!$C$21,0))</f>
        <v>0</v>
      </c>
      <c r="I481" s="38">
        <f t="shared" si="2"/>
        <v>0</v>
      </c>
      <c r="J481" s="40" t="str">
        <f t="shared" si="3"/>
        <v/>
      </c>
      <c r="K481" s="40" t="str">
        <f t="shared" si="4"/>
        <v/>
      </c>
      <c r="L481" s="30">
        <f t="shared" si="5"/>
        <v>0</v>
      </c>
    </row>
    <row r="482" ht="15.75" customHeight="1">
      <c r="A482" s="21"/>
      <c r="B482" s="23"/>
      <c r="C482" s="23"/>
      <c r="D482" s="30" t="str">
        <f>IF(C482&lt;&gt;"",VLOOKUP(C482,ENSEIGNES!$B$2:$D971,2,FALSE),"")</f>
        <v/>
      </c>
      <c r="E482" s="30" t="str">
        <f>IF(C482&lt;&gt;"",VLOOKUP(C482,ENSEIGNES!$B$2:$D971,3,FALSE),"")</f>
        <v/>
      </c>
      <c r="F482" s="31"/>
      <c r="G482" s="32">
        <f t="shared" si="11"/>
        <v>0</v>
      </c>
      <c r="H482" s="34">
        <f>IF(D482="Direct",PARAMETRES!$C$20,IF(D482="Centrale",PARAMETRES!$C$21,0))</f>
        <v>0</v>
      </c>
      <c r="I482" s="38">
        <f t="shared" si="2"/>
        <v>0</v>
      </c>
      <c r="J482" s="40" t="str">
        <f t="shared" si="3"/>
        <v/>
      </c>
      <c r="K482" s="40" t="str">
        <f t="shared" si="4"/>
        <v/>
      </c>
      <c r="L482" s="30">
        <f t="shared" si="5"/>
        <v>0</v>
      </c>
    </row>
    <row r="483" ht="15.75" customHeight="1">
      <c r="A483" s="21"/>
      <c r="B483" s="23"/>
      <c r="C483" s="23"/>
      <c r="D483" s="30" t="str">
        <f>IF(C483&lt;&gt;"",VLOOKUP(C483,ENSEIGNES!$B$2:$D971,2,FALSE),"")</f>
        <v/>
      </c>
      <c r="E483" s="30" t="str">
        <f>IF(C483&lt;&gt;"",VLOOKUP(C483,ENSEIGNES!$B$2:$D971,3,FALSE),"")</f>
        <v/>
      </c>
      <c r="F483" s="31"/>
      <c r="G483" s="32">
        <f t="shared" si="11"/>
        <v>0</v>
      </c>
      <c r="H483" s="34">
        <f>IF(D483="Direct",PARAMETRES!$C$20,IF(D483="Centrale",PARAMETRES!$C$21,0))</f>
        <v>0</v>
      </c>
      <c r="I483" s="38">
        <f t="shared" si="2"/>
        <v>0</v>
      </c>
      <c r="J483" s="40" t="str">
        <f t="shared" si="3"/>
        <v/>
      </c>
      <c r="K483" s="40" t="str">
        <f t="shared" si="4"/>
        <v/>
      </c>
      <c r="L483" s="30">
        <f t="shared" si="5"/>
        <v>0</v>
      </c>
    </row>
    <row r="484" ht="15.75" customHeight="1">
      <c r="A484" s="21"/>
      <c r="B484" s="23"/>
      <c r="C484" s="23"/>
      <c r="D484" s="30" t="str">
        <f>IF(C484&lt;&gt;"",VLOOKUP(C484,ENSEIGNES!$B$2:$D971,2,FALSE),"")</f>
        <v/>
      </c>
      <c r="E484" s="30" t="str">
        <f>IF(C484&lt;&gt;"",VLOOKUP(C484,ENSEIGNES!$B$2:$D971,3,FALSE),"")</f>
        <v/>
      </c>
      <c r="F484" s="31"/>
      <c r="G484" s="32">
        <f t="shared" si="11"/>
        <v>0</v>
      </c>
      <c r="H484" s="34">
        <f>IF(D484="Direct",PARAMETRES!$C$20,IF(D484="Centrale",PARAMETRES!$C$21,0))</f>
        <v>0</v>
      </c>
      <c r="I484" s="38">
        <f t="shared" si="2"/>
        <v>0</v>
      </c>
      <c r="J484" s="40" t="str">
        <f t="shared" si="3"/>
        <v/>
      </c>
      <c r="K484" s="40" t="str">
        <f t="shared" si="4"/>
        <v/>
      </c>
      <c r="L484" s="30">
        <f t="shared" si="5"/>
        <v>0</v>
      </c>
    </row>
    <row r="485" ht="15.75" customHeight="1">
      <c r="A485" s="21"/>
      <c r="B485" s="23"/>
      <c r="C485" s="23"/>
      <c r="D485" s="30" t="str">
        <f>IF(C485&lt;&gt;"",VLOOKUP(C485,ENSEIGNES!$B$2:$D971,2,FALSE),"")</f>
        <v/>
      </c>
      <c r="E485" s="30" t="str">
        <f>IF(C485&lt;&gt;"",VLOOKUP(C485,ENSEIGNES!$B$2:$D971,3,FALSE),"")</f>
        <v/>
      </c>
      <c r="F485" s="31"/>
      <c r="G485" s="32">
        <f t="shared" si="11"/>
        <v>0</v>
      </c>
      <c r="H485" s="34">
        <f>IF(D485="Direct",PARAMETRES!$C$20,IF(D485="Centrale",PARAMETRES!$C$21,0))</f>
        <v>0</v>
      </c>
      <c r="I485" s="38">
        <f t="shared" si="2"/>
        <v>0</v>
      </c>
      <c r="J485" s="40" t="str">
        <f t="shared" si="3"/>
        <v/>
      </c>
      <c r="K485" s="40" t="str">
        <f t="shared" si="4"/>
        <v/>
      </c>
      <c r="L485" s="30">
        <f t="shared" si="5"/>
        <v>0</v>
      </c>
    </row>
    <row r="486" ht="15.75" customHeight="1">
      <c r="A486" s="21"/>
      <c r="B486" s="23"/>
      <c r="C486" s="23"/>
      <c r="D486" s="30" t="str">
        <f>IF(C486&lt;&gt;"",VLOOKUP(C486,ENSEIGNES!$B$2:$D971,2,FALSE),"")</f>
        <v/>
      </c>
      <c r="E486" s="30" t="str">
        <f>IF(C486&lt;&gt;"",VLOOKUP(C486,ENSEIGNES!$B$2:$D971,3,FALSE),"")</f>
        <v/>
      </c>
      <c r="F486" s="31"/>
      <c r="G486" s="32">
        <f t="shared" si="11"/>
        <v>0</v>
      </c>
      <c r="H486" s="34">
        <f>IF(D486="Direct",PARAMETRES!$C$20,IF(D486="Centrale",PARAMETRES!$C$21,0))</f>
        <v>0</v>
      </c>
      <c r="I486" s="38">
        <f t="shared" si="2"/>
        <v>0</v>
      </c>
      <c r="J486" s="40" t="str">
        <f t="shared" si="3"/>
        <v/>
      </c>
      <c r="K486" s="40" t="str">
        <f t="shared" si="4"/>
        <v/>
      </c>
      <c r="L486" s="30">
        <f t="shared" si="5"/>
        <v>0</v>
      </c>
    </row>
    <row r="487" ht="15.75" customHeight="1">
      <c r="A487" s="21"/>
      <c r="B487" s="23"/>
      <c r="C487" s="23"/>
      <c r="D487" s="30" t="str">
        <f>IF(C487&lt;&gt;"",VLOOKUP(C487,ENSEIGNES!$B$2:$D971,2,FALSE),"")</f>
        <v/>
      </c>
      <c r="E487" s="30" t="str">
        <f>IF(C487&lt;&gt;"",VLOOKUP(C487,ENSEIGNES!$B$2:$D971,3,FALSE),"")</f>
        <v/>
      </c>
      <c r="F487" s="31"/>
      <c r="G487" s="32">
        <f t="shared" si="11"/>
        <v>0</v>
      </c>
      <c r="H487" s="34">
        <f>IF(D487="Direct",PARAMETRES!$C$20,IF(D487="Centrale",PARAMETRES!$C$21,0))</f>
        <v>0</v>
      </c>
      <c r="I487" s="38">
        <f t="shared" si="2"/>
        <v>0</v>
      </c>
      <c r="J487" s="40" t="str">
        <f t="shared" si="3"/>
        <v/>
      </c>
      <c r="K487" s="40" t="str">
        <f t="shared" si="4"/>
        <v/>
      </c>
      <c r="L487" s="30">
        <f t="shared" si="5"/>
        <v>0</v>
      </c>
    </row>
    <row r="488" ht="15.75" customHeight="1">
      <c r="A488" s="21"/>
      <c r="B488" s="23"/>
      <c r="C488" s="23"/>
      <c r="D488" s="30" t="str">
        <f>IF(C488&lt;&gt;"",VLOOKUP(C488,ENSEIGNES!$B$2:$D971,2,FALSE),"")</f>
        <v/>
      </c>
      <c r="E488" s="30" t="str">
        <f>IF(C488&lt;&gt;"",VLOOKUP(C488,ENSEIGNES!$B$2:$D971,3,FALSE),"")</f>
        <v/>
      </c>
      <c r="F488" s="31"/>
      <c r="G488" s="32">
        <f t="shared" si="11"/>
        <v>0</v>
      </c>
      <c r="H488" s="34">
        <f>IF(D488="Direct",PARAMETRES!$C$20,IF(D488="Centrale",PARAMETRES!$C$21,0))</f>
        <v>0</v>
      </c>
      <c r="I488" s="38">
        <f t="shared" si="2"/>
        <v>0</v>
      </c>
      <c r="J488" s="40" t="str">
        <f t="shared" si="3"/>
        <v/>
      </c>
      <c r="K488" s="40" t="str">
        <f t="shared" si="4"/>
        <v/>
      </c>
      <c r="L488" s="30">
        <f t="shared" si="5"/>
        <v>0</v>
      </c>
    </row>
    <row r="489" ht="15.75" customHeight="1">
      <c r="A489" s="21"/>
      <c r="B489" s="23"/>
      <c r="C489" s="23"/>
      <c r="D489" s="30" t="str">
        <f>IF(C489&lt;&gt;"",VLOOKUP(C489,ENSEIGNES!$B$2:$D971,2,FALSE),"")</f>
        <v/>
      </c>
      <c r="E489" s="30" t="str">
        <f>IF(C489&lt;&gt;"",VLOOKUP(C489,ENSEIGNES!$B$2:$D971,3,FALSE),"")</f>
        <v/>
      </c>
      <c r="F489" s="31"/>
      <c r="G489" s="32">
        <f t="shared" si="11"/>
        <v>0</v>
      </c>
      <c r="H489" s="34">
        <f>IF(D489="Direct",PARAMETRES!$C$20,IF(D489="Centrale",PARAMETRES!$C$21,0))</f>
        <v>0</v>
      </c>
      <c r="I489" s="38">
        <f t="shared" si="2"/>
        <v>0</v>
      </c>
      <c r="J489" s="40" t="str">
        <f t="shared" si="3"/>
        <v/>
      </c>
      <c r="K489" s="40" t="str">
        <f t="shared" si="4"/>
        <v/>
      </c>
      <c r="L489" s="30">
        <f t="shared" si="5"/>
        <v>0</v>
      </c>
    </row>
    <row r="490" ht="15.75" customHeight="1">
      <c r="A490" s="21"/>
      <c r="B490" s="23"/>
      <c r="C490" s="23"/>
      <c r="D490" s="30" t="str">
        <f>IF(C490&lt;&gt;"",VLOOKUP(C490,ENSEIGNES!$B$2:$D971,2,FALSE),"")</f>
        <v/>
      </c>
      <c r="E490" s="30" t="str">
        <f>IF(C490&lt;&gt;"",VLOOKUP(C490,ENSEIGNES!$B$2:$D971,3,FALSE),"")</f>
        <v/>
      </c>
      <c r="F490" s="31"/>
      <c r="G490" s="32">
        <f t="shared" si="11"/>
        <v>0</v>
      </c>
      <c r="H490" s="34">
        <f>IF(D490="Direct",PARAMETRES!$C$20,IF(D490="Centrale",PARAMETRES!$C$21,0))</f>
        <v>0</v>
      </c>
      <c r="I490" s="38">
        <f t="shared" si="2"/>
        <v>0</v>
      </c>
      <c r="J490" s="40" t="str">
        <f t="shared" si="3"/>
        <v/>
      </c>
      <c r="K490" s="40" t="str">
        <f t="shared" si="4"/>
        <v/>
      </c>
      <c r="L490" s="30">
        <f t="shared" si="5"/>
        <v>0</v>
      </c>
    </row>
    <row r="491" ht="15.75" customHeight="1">
      <c r="A491" s="21"/>
      <c r="B491" s="23"/>
      <c r="C491" s="23"/>
      <c r="D491" s="30" t="str">
        <f>IF(C491&lt;&gt;"",VLOOKUP(C491,ENSEIGNES!$B$2:$D971,2,FALSE),"")</f>
        <v/>
      </c>
      <c r="E491" s="30" t="str">
        <f>IF(C491&lt;&gt;"",VLOOKUP(C491,ENSEIGNES!$B$2:$D971,3,FALSE),"")</f>
        <v/>
      </c>
      <c r="F491" s="31"/>
      <c r="G491" s="32">
        <f t="shared" si="11"/>
        <v>0</v>
      </c>
      <c r="H491" s="34">
        <f>IF(D491="Direct",PARAMETRES!$C$20,IF(D491="Centrale",PARAMETRES!$C$21,0))</f>
        <v>0</v>
      </c>
      <c r="I491" s="38">
        <f t="shared" si="2"/>
        <v>0</v>
      </c>
      <c r="J491" s="40" t="str">
        <f t="shared" si="3"/>
        <v/>
      </c>
      <c r="K491" s="40" t="str">
        <f t="shared" si="4"/>
        <v/>
      </c>
      <c r="L491" s="30">
        <f t="shared" si="5"/>
        <v>0</v>
      </c>
    </row>
    <row r="492" ht="15.75" customHeight="1">
      <c r="A492" s="21"/>
      <c r="B492" s="23"/>
      <c r="C492" s="23"/>
      <c r="D492" s="30" t="str">
        <f>IF(C492&lt;&gt;"",VLOOKUP(C492,ENSEIGNES!$B$2:$D971,2,FALSE),"")</f>
        <v/>
      </c>
      <c r="E492" s="30" t="str">
        <f>IF(C492&lt;&gt;"",VLOOKUP(C492,ENSEIGNES!$B$2:$D971,3,FALSE),"")</f>
        <v/>
      </c>
      <c r="F492" s="31"/>
      <c r="G492" s="32">
        <f t="shared" si="11"/>
        <v>0</v>
      </c>
      <c r="H492" s="34">
        <f>IF(D492="Direct",PARAMETRES!$C$20,IF(D492="Centrale",PARAMETRES!$C$21,0))</f>
        <v>0</v>
      </c>
      <c r="I492" s="38">
        <f t="shared" si="2"/>
        <v>0</v>
      </c>
      <c r="J492" s="40" t="str">
        <f t="shared" si="3"/>
        <v/>
      </c>
      <c r="K492" s="40" t="str">
        <f t="shared" si="4"/>
        <v/>
      </c>
      <c r="L492" s="30">
        <f t="shared" si="5"/>
        <v>0</v>
      </c>
    </row>
    <row r="493" ht="15.75" customHeight="1">
      <c r="A493" s="21"/>
      <c r="B493" s="23"/>
      <c r="C493" s="23"/>
      <c r="D493" s="30" t="str">
        <f>IF(C493&lt;&gt;"",VLOOKUP(C493,ENSEIGNES!$B$2:$D971,2,FALSE),"")</f>
        <v/>
      </c>
      <c r="E493" s="30" t="str">
        <f>IF(C493&lt;&gt;"",VLOOKUP(C493,ENSEIGNES!$B$2:$D971,3,FALSE),"")</f>
        <v/>
      </c>
      <c r="F493" s="31"/>
      <c r="G493" s="32">
        <f t="shared" si="11"/>
        <v>0</v>
      </c>
      <c r="H493" s="34">
        <f>IF(D493="Direct",PARAMETRES!$C$20,IF(D493="Centrale",PARAMETRES!$C$21,0))</f>
        <v>0</v>
      </c>
      <c r="I493" s="38">
        <f t="shared" si="2"/>
        <v>0</v>
      </c>
      <c r="J493" s="40" t="str">
        <f t="shared" si="3"/>
        <v/>
      </c>
      <c r="K493" s="40" t="str">
        <f t="shared" si="4"/>
        <v/>
      </c>
      <c r="L493" s="30">
        <f t="shared" si="5"/>
        <v>0</v>
      </c>
    </row>
    <row r="494" ht="15.75" customHeight="1">
      <c r="A494" s="21"/>
      <c r="B494" s="23"/>
      <c r="C494" s="23"/>
      <c r="D494" s="30" t="str">
        <f>IF(C494&lt;&gt;"",VLOOKUP(C494,ENSEIGNES!$B$2:$D971,2,FALSE),"")</f>
        <v/>
      </c>
      <c r="E494" s="30" t="str">
        <f>IF(C494&lt;&gt;"",VLOOKUP(C494,ENSEIGNES!$B$2:$D971,3,FALSE),"")</f>
        <v/>
      </c>
      <c r="F494" s="31"/>
      <c r="G494" s="32">
        <f t="shared" si="11"/>
        <v>0</v>
      </c>
      <c r="H494" s="34">
        <f>IF(D494="Direct",PARAMETRES!$C$20,IF(D494="Centrale",PARAMETRES!$C$21,0))</f>
        <v>0</v>
      </c>
      <c r="I494" s="38">
        <f t="shared" si="2"/>
        <v>0</v>
      </c>
      <c r="J494" s="40" t="str">
        <f t="shared" si="3"/>
        <v/>
      </c>
      <c r="K494" s="40" t="str">
        <f t="shared" si="4"/>
        <v/>
      </c>
      <c r="L494" s="30">
        <f t="shared" si="5"/>
        <v>0</v>
      </c>
    </row>
    <row r="495" ht="15.75" customHeight="1">
      <c r="A495" s="21"/>
      <c r="B495" s="23"/>
      <c r="C495" s="23"/>
      <c r="D495" s="30" t="str">
        <f>IF(C495&lt;&gt;"",VLOOKUP(C495,ENSEIGNES!$B$2:$D971,2,FALSE),"")</f>
        <v/>
      </c>
      <c r="E495" s="30" t="str">
        <f>IF(C495&lt;&gt;"",VLOOKUP(C495,ENSEIGNES!$B$2:$D971,3,FALSE),"")</f>
        <v/>
      </c>
      <c r="F495" s="31"/>
      <c r="G495" s="32">
        <f t="shared" si="11"/>
        <v>0</v>
      </c>
      <c r="H495" s="34">
        <f>IF(D495="Direct",PARAMETRES!$C$20,IF(D495="Centrale",PARAMETRES!$C$21,0))</f>
        <v>0</v>
      </c>
      <c r="I495" s="38">
        <f t="shared" si="2"/>
        <v>0</v>
      </c>
      <c r="J495" s="40" t="str">
        <f t="shared" si="3"/>
        <v/>
      </c>
      <c r="K495" s="40" t="str">
        <f t="shared" si="4"/>
        <v/>
      </c>
      <c r="L495" s="30">
        <f t="shared" si="5"/>
        <v>0</v>
      </c>
    </row>
    <row r="496" ht="15.75" customHeight="1">
      <c r="A496" s="21"/>
      <c r="B496" s="23"/>
      <c r="C496" s="23"/>
      <c r="D496" s="30" t="str">
        <f>IF(C496&lt;&gt;"",VLOOKUP(C496,ENSEIGNES!$B$2:$D971,2,FALSE),"")</f>
        <v/>
      </c>
      <c r="E496" s="30" t="str">
        <f>IF(C496&lt;&gt;"",VLOOKUP(C496,ENSEIGNES!$B$2:$D971,3,FALSE),"")</f>
        <v/>
      </c>
      <c r="F496" s="31"/>
      <c r="G496" s="32">
        <f t="shared" si="11"/>
        <v>0</v>
      </c>
      <c r="H496" s="34">
        <f>IF(D496="Direct",PARAMETRES!$C$20,IF(D496="Centrale",PARAMETRES!$C$21,0))</f>
        <v>0</v>
      </c>
      <c r="I496" s="38">
        <f t="shared" si="2"/>
        <v>0</v>
      </c>
      <c r="J496" s="40" t="str">
        <f t="shared" si="3"/>
        <v/>
      </c>
      <c r="K496" s="40" t="str">
        <f t="shared" si="4"/>
        <v/>
      </c>
      <c r="L496" s="30">
        <f t="shared" si="5"/>
        <v>0</v>
      </c>
    </row>
    <row r="497" ht="15.75" customHeight="1">
      <c r="A497" s="21"/>
      <c r="B497" s="23"/>
      <c r="C497" s="23"/>
      <c r="D497" s="30" t="str">
        <f>IF(C497&lt;&gt;"",VLOOKUP(C497,ENSEIGNES!$B$2:$D971,2,FALSE),"")</f>
        <v/>
      </c>
      <c r="E497" s="30" t="str">
        <f>IF(C497&lt;&gt;"",VLOOKUP(C497,ENSEIGNES!$B$2:$D971,3,FALSE),"")</f>
        <v/>
      </c>
      <c r="F497" s="31"/>
      <c r="G497" s="32">
        <f t="shared" si="11"/>
        <v>0</v>
      </c>
      <c r="H497" s="34">
        <f>IF(D497="Direct",PARAMETRES!$C$20,IF(D497="Centrale",PARAMETRES!$C$21,0))</f>
        <v>0</v>
      </c>
      <c r="I497" s="38">
        <f t="shared" si="2"/>
        <v>0</v>
      </c>
      <c r="J497" s="40" t="str">
        <f t="shared" si="3"/>
        <v/>
      </c>
      <c r="K497" s="40" t="str">
        <f t="shared" si="4"/>
        <v/>
      </c>
      <c r="L497" s="30">
        <f t="shared" si="5"/>
        <v>0</v>
      </c>
    </row>
    <row r="498" ht="15.75" customHeight="1">
      <c r="A498" s="21"/>
      <c r="B498" s="23"/>
      <c r="C498" s="23"/>
      <c r="D498" s="30" t="str">
        <f>IF(C498&lt;&gt;"",VLOOKUP(C498,ENSEIGNES!$B$2:$D971,2,FALSE),"")</f>
        <v/>
      </c>
      <c r="E498" s="30" t="str">
        <f>IF(C498&lt;&gt;"",VLOOKUP(C498,ENSEIGNES!$B$2:$D971,3,FALSE),"")</f>
        <v/>
      </c>
      <c r="F498" s="31"/>
      <c r="G498" s="32">
        <f t="shared" si="11"/>
        <v>0</v>
      </c>
      <c r="H498" s="34">
        <f>IF(D498="Direct",PARAMETRES!$C$20,IF(D498="Centrale",PARAMETRES!$C$21,0))</f>
        <v>0</v>
      </c>
      <c r="I498" s="38">
        <f t="shared" si="2"/>
        <v>0</v>
      </c>
      <c r="J498" s="40" t="str">
        <f t="shared" si="3"/>
        <v/>
      </c>
      <c r="K498" s="40" t="str">
        <f t="shared" si="4"/>
        <v/>
      </c>
      <c r="L498" s="30">
        <f t="shared" si="5"/>
        <v>0</v>
      </c>
    </row>
    <row r="499" ht="15.75" customHeight="1">
      <c r="A499" s="21"/>
      <c r="B499" s="23"/>
      <c r="C499" s="23"/>
      <c r="D499" s="30" t="str">
        <f>IF(C499&lt;&gt;"",VLOOKUP(C499,ENSEIGNES!$B$2:$D971,2,FALSE),"")</f>
        <v/>
      </c>
      <c r="E499" s="30" t="str">
        <f>IF(C499&lt;&gt;"",VLOOKUP(C499,ENSEIGNES!$B$2:$D971,3,FALSE),"")</f>
        <v/>
      </c>
      <c r="F499" s="31"/>
      <c r="G499" s="32">
        <f t="shared" si="11"/>
        <v>0</v>
      </c>
      <c r="H499" s="34">
        <f>IF(D499="Direct",PARAMETRES!$C$20,IF(D499="Centrale",PARAMETRES!$C$21,0))</f>
        <v>0</v>
      </c>
      <c r="I499" s="38">
        <f t="shared" si="2"/>
        <v>0</v>
      </c>
      <c r="J499" s="40" t="str">
        <f t="shared" si="3"/>
        <v/>
      </c>
      <c r="K499" s="40" t="str">
        <f t="shared" si="4"/>
        <v/>
      </c>
      <c r="L499" s="30">
        <f t="shared" si="5"/>
        <v>0</v>
      </c>
    </row>
    <row r="500" ht="15.75" customHeight="1">
      <c r="A500" s="21"/>
      <c r="B500" s="23"/>
      <c r="C500" s="23"/>
      <c r="D500" s="30" t="str">
        <f>IF(C500&lt;&gt;"",VLOOKUP(C500,ENSEIGNES!$B$2:$D971,2,FALSE),"")</f>
        <v/>
      </c>
      <c r="E500" s="30" t="str">
        <f>IF(C500&lt;&gt;"",VLOOKUP(C500,ENSEIGNES!$B$2:$D971,3,FALSE),"")</f>
        <v/>
      </c>
      <c r="F500" s="31"/>
      <c r="G500" s="32">
        <f t="shared" si="11"/>
        <v>0</v>
      </c>
      <c r="H500" s="34">
        <f>IF(D500="Direct",PARAMETRES!$C$20,IF(D500="Centrale",PARAMETRES!$C$21,0))</f>
        <v>0</v>
      </c>
      <c r="I500" s="38">
        <f t="shared" si="2"/>
        <v>0</v>
      </c>
      <c r="J500" s="40" t="str">
        <f t="shared" si="3"/>
        <v/>
      </c>
      <c r="K500" s="40" t="str">
        <f t="shared" si="4"/>
        <v/>
      </c>
      <c r="L500" s="30">
        <f t="shared" si="5"/>
        <v>0</v>
      </c>
    </row>
    <row r="501" ht="15.75" customHeight="1">
      <c r="A501" s="21"/>
      <c r="B501" s="23"/>
      <c r="C501" s="23"/>
      <c r="D501" s="30" t="str">
        <f>IF(C501&lt;&gt;"",VLOOKUP(C501,ENSEIGNES!$B$2:$D971,2,FALSE),"")</f>
        <v/>
      </c>
      <c r="E501" s="30" t="str">
        <f>IF(C501&lt;&gt;"",VLOOKUP(C501,ENSEIGNES!$B$2:$D971,3,FALSE),"")</f>
        <v/>
      </c>
      <c r="F501" s="31"/>
      <c r="G501" s="32">
        <f t="shared" si="11"/>
        <v>0</v>
      </c>
      <c r="H501" s="34">
        <f>IF(D501="Direct",PARAMETRES!$C$20,IF(D501="Centrale",PARAMETRES!$C$21,0))</f>
        <v>0</v>
      </c>
      <c r="I501" s="38">
        <f t="shared" si="2"/>
        <v>0</v>
      </c>
      <c r="J501" s="40" t="str">
        <f t="shared" si="3"/>
        <v/>
      </c>
      <c r="K501" s="40" t="str">
        <f t="shared" si="4"/>
        <v/>
      </c>
      <c r="L501" s="30">
        <f t="shared" si="5"/>
        <v>0</v>
      </c>
    </row>
    <row r="502" ht="15.75" customHeight="1">
      <c r="A502" s="21"/>
      <c r="B502" s="23"/>
      <c r="C502" s="23"/>
      <c r="D502" s="30" t="str">
        <f>IF(C502&lt;&gt;"",VLOOKUP(C502,ENSEIGNES!$B$2:$D971,2,FALSE),"")</f>
        <v/>
      </c>
      <c r="E502" s="30" t="str">
        <f>IF(C502&lt;&gt;"",VLOOKUP(C502,ENSEIGNES!$B$2:$D971,3,FALSE),"")</f>
        <v/>
      </c>
      <c r="F502" s="31"/>
      <c r="G502" s="32">
        <f t="shared" si="11"/>
        <v>0</v>
      </c>
      <c r="H502" s="34">
        <f>IF(D502="Direct",PARAMETRES!$C$20,IF(D502="Centrale",PARAMETRES!$C$21,0))</f>
        <v>0</v>
      </c>
      <c r="I502" s="38">
        <f t="shared" si="2"/>
        <v>0</v>
      </c>
      <c r="J502" s="40" t="str">
        <f t="shared" si="3"/>
        <v/>
      </c>
      <c r="K502" s="40" t="str">
        <f t="shared" si="4"/>
        <v/>
      </c>
      <c r="L502" s="30">
        <f t="shared" si="5"/>
        <v>0</v>
      </c>
    </row>
    <row r="503" ht="15.75" customHeight="1">
      <c r="A503" s="21"/>
      <c r="B503" s="23"/>
      <c r="C503" s="23"/>
      <c r="D503" s="30" t="str">
        <f>IF(C503&lt;&gt;"",VLOOKUP(C503,ENSEIGNES!$B$2:$D971,2,FALSE),"")</f>
        <v/>
      </c>
      <c r="E503" s="30" t="str">
        <f>IF(C503&lt;&gt;"",VLOOKUP(C503,ENSEIGNES!$B$2:$D971,3,FALSE),"")</f>
        <v/>
      </c>
      <c r="F503" s="31"/>
      <c r="G503" s="32">
        <f t="shared" si="11"/>
        <v>0</v>
      </c>
      <c r="H503" s="34">
        <f>IF(D503="Direct",PARAMETRES!$C$20,IF(D503="Centrale",PARAMETRES!$C$21,0))</f>
        <v>0</v>
      </c>
      <c r="I503" s="38">
        <f t="shared" si="2"/>
        <v>0</v>
      </c>
      <c r="J503" s="40" t="str">
        <f t="shared" si="3"/>
        <v/>
      </c>
      <c r="K503" s="40" t="str">
        <f t="shared" si="4"/>
        <v/>
      </c>
      <c r="L503" s="30">
        <f t="shared" si="5"/>
        <v>0</v>
      </c>
    </row>
    <row r="504" ht="15.75" customHeight="1">
      <c r="A504" s="21"/>
      <c r="B504" s="23"/>
      <c r="C504" s="23"/>
      <c r="D504" s="30" t="str">
        <f>IF(C504&lt;&gt;"",VLOOKUP(C504,ENSEIGNES!$B$2:$D971,2,FALSE),"")</f>
        <v/>
      </c>
      <c r="E504" s="30" t="str">
        <f>IF(C504&lt;&gt;"",VLOOKUP(C504,ENSEIGNES!$B$2:$D971,3,FALSE),"")</f>
        <v/>
      </c>
      <c r="F504" s="31"/>
      <c r="G504" s="32">
        <f t="shared" si="11"/>
        <v>0</v>
      </c>
      <c r="H504" s="34">
        <f>IF(D504="Direct",PARAMETRES!$C$20,IF(D504="Centrale",PARAMETRES!$C$21,0))</f>
        <v>0</v>
      </c>
      <c r="I504" s="38">
        <f t="shared" si="2"/>
        <v>0</v>
      </c>
      <c r="J504" s="40" t="str">
        <f t="shared" si="3"/>
        <v/>
      </c>
      <c r="K504" s="40" t="str">
        <f t="shared" si="4"/>
        <v/>
      </c>
      <c r="L504" s="30">
        <f t="shared" si="5"/>
        <v>0</v>
      </c>
    </row>
    <row r="505" ht="15.75" customHeight="1">
      <c r="A505" s="21"/>
      <c r="B505" s="23"/>
      <c r="C505" s="23"/>
      <c r="D505" s="30" t="str">
        <f>IF(C505&lt;&gt;"",VLOOKUP(C505,ENSEIGNES!$B$2:$D971,2,FALSE),"")</f>
        <v/>
      </c>
      <c r="E505" s="30" t="str">
        <f>IF(C505&lt;&gt;"",VLOOKUP(C505,ENSEIGNES!$B$2:$D971,3,FALSE),"")</f>
        <v/>
      </c>
      <c r="F505" s="31"/>
      <c r="G505" s="32">
        <f t="shared" si="11"/>
        <v>0</v>
      </c>
      <c r="H505" s="34">
        <f>IF(D505="Direct",PARAMETRES!$C$20,IF(D505="Centrale",PARAMETRES!$C$21,0))</f>
        <v>0</v>
      </c>
      <c r="I505" s="38">
        <f t="shared" si="2"/>
        <v>0</v>
      </c>
      <c r="J505" s="40" t="str">
        <f t="shared" si="3"/>
        <v/>
      </c>
      <c r="K505" s="40" t="str">
        <f t="shared" si="4"/>
        <v/>
      </c>
      <c r="L505" s="30">
        <f t="shared" si="5"/>
        <v>0</v>
      </c>
    </row>
    <row r="506" ht="15.75" customHeight="1">
      <c r="A506" s="21"/>
      <c r="B506" s="23"/>
      <c r="C506" s="23"/>
      <c r="D506" s="30" t="str">
        <f>IF(C506&lt;&gt;"",VLOOKUP(C506,ENSEIGNES!$B$2:$D971,2,FALSE),"")</f>
        <v/>
      </c>
      <c r="E506" s="30" t="str">
        <f>IF(C506&lt;&gt;"",VLOOKUP(C506,ENSEIGNES!$B$2:$D971,3,FALSE),"")</f>
        <v/>
      </c>
      <c r="F506" s="31"/>
      <c r="G506" s="32">
        <f t="shared" si="11"/>
        <v>0</v>
      </c>
      <c r="H506" s="34">
        <f>IF(D506="Direct",PARAMETRES!$C$20,IF(D506="Centrale",PARAMETRES!$C$21,0))</f>
        <v>0</v>
      </c>
      <c r="I506" s="38">
        <f t="shared" si="2"/>
        <v>0</v>
      </c>
      <c r="J506" s="40" t="str">
        <f t="shared" si="3"/>
        <v/>
      </c>
      <c r="K506" s="40" t="str">
        <f t="shared" si="4"/>
        <v/>
      </c>
      <c r="L506" s="30">
        <f t="shared" si="5"/>
        <v>0</v>
      </c>
    </row>
    <row r="507" ht="15.75" customHeight="1">
      <c r="A507" s="21"/>
      <c r="B507" s="23"/>
      <c r="C507" s="23"/>
      <c r="D507" s="30" t="str">
        <f>IF(C507&lt;&gt;"",VLOOKUP(C507,ENSEIGNES!$B$2:$D971,2,FALSE),"")</f>
        <v/>
      </c>
      <c r="E507" s="30" t="str">
        <f>IF(C507&lt;&gt;"",VLOOKUP(C507,ENSEIGNES!$B$2:$D971,3,FALSE),"")</f>
        <v/>
      </c>
      <c r="F507" s="31"/>
      <c r="G507" s="32">
        <f t="shared" si="11"/>
        <v>0</v>
      </c>
      <c r="H507" s="34">
        <f>IF(D507="Direct",PARAMETRES!$C$20,IF(D507="Centrale",PARAMETRES!$C$21,0))</f>
        <v>0</v>
      </c>
      <c r="I507" s="38">
        <f t="shared" si="2"/>
        <v>0</v>
      </c>
      <c r="J507" s="40" t="str">
        <f t="shared" si="3"/>
        <v/>
      </c>
      <c r="K507" s="40" t="str">
        <f t="shared" si="4"/>
        <v/>
      </c>
      <c r="L507" s="30">
        <f t="shared" si="5"/>
        <v>0</v>
      </c>
    </row>
    <row r="508" ht="15.75" customHeight="1">
      <c r="A508" s="21"/>
      <c r="B508" s="23"/>
      <c r="C508" s="23"/>
      <c r="D508" s="30" t="str">
        <f>IF(C508&lt;&gt;"",VLOOKUP(C508,ENSEIGNES!$B$2:$D971,2,FALSE),"")</f>
        <v/>
      </c>
      <c r="E508" s="30" t="str">
        <f>IF(C508&lt;&gt;"",VLOOKUP(C508,ENSEIGNES!$B$2:$D971,3,FALSE),"")</f>
        <v/>
      </c>
      <c r="F508" s="31"/>
      <c r="G508" s="32">
        <f t="shared" si="11"/>
        <v>0</v>
      </c>
      <c r="H508" s="34">
        <f>IF(D508="Direct",PARAMETRES!$C$20,IF(D508="Centrale",PARAMETRES!$C$21,0))</f>
        <v>0</v>
      </c>
      <c r="I508" s="38">
        <f t="shared" si="2"/>
        <v>0</v>
      </c>
      <c r="J508" s="40" t="str">
        <f t="shared" si="3"/>
        <v/>
      </c>
      <c r="K508" s="40" t="str">
        <f t="shared" si="4"/>
        <v/>
      </c>
      <c r="L508" s="30">
        <f t="shared" si="5"/>
        <v>0</v>
      </c>
    </row>
    <row r="509" ht="15.75" customHeight="1">
      <c r="A509" s="21"/>
      <c r="B509" s="23"/>
      <c r="C509" s="23"/>
      <c r="D509" s="30" t="str">
        <f>IF(C509&lt;&gt;"",VLOOKUP(C509,ENSEIGNES!$B$2:$D971,2,FALSE),"")</f>
        <v/>
      </c>
      <c r="E509" s="30" t="str">
        <f>IF(C509&lt;&gt;"",VLOOKUP(C509,ENSEIGNES!$B$2:$D971,3,FALSE),"")</f>
        <v/>
      </c>
      <c r="F509" s="31"/>
      <c r="G509" s="32">
        <f t="shared" si="11"/>
        <v>0</v>
      </c>
      <c r="H509" s="34">
        <f>IF(D509="Direct",PARAMETRES!$C$20,IF(D509="Centrale",PARAMETRES!$C$21,0))</f>
        <v>0</v>
      </c>
      <c r="I509" s="38">
        <f t="shared" si="2"/>
        <v>0</v>
      </c>
      <c r="J509" s="40" t="str">
        <f t="shared" si="3"/>
        <v/>
      </c>
      <c r="K509" s="40" t="str">
        <f t="shared" si="4"/>
        <v/>
      </c>
      <c r="L509" s="30">
        <f t="shared" si="5"/>
        <v>0</v>
      </c>
    </row>
    <row r="510" ht="15.75" customHeight="1">
      <c r="A510" s="21"/>
      <c r="B510" s="23"/>
      <c r="C510" s="23"/>
      <c r="D510" s="30" t="str">
        <f>IF(C510&lt;&gt;"",VLOOKUP(C510,ENSEIGNES!$B$2:$D971,2,FALSE),"")</f>
        <v/>
      </c>
      <c r="E510" s="30" t="str">
        <f>IF(C510&lt;&gt;"",VLOOKUP(C510,ENSEIGNES!$B$2:$D971,3,FALSE),"")</f>
        <v/>
      </c>
      <c r="F510" s="31"/>
      <c r="G510" s="32">
        <f t="shared" si="11"/>
        <v>0</v>
      </c>
      <c r="H510" s="34">
        <f>IF(D510="Direct",PARAMETRES!$C$20,IF(D510="Centrale",PARAMETRES!$C$21,0))</f>
        <v>0</v>
      </c>
      <c r="I510" s="38">
        <f t="shared" si="2"/>
        <v>0</v>
      </c>
      <c r="J510" s="40" t="str">
        <f t="shared" si="3"/>
        <v/>
      </c>
      <c r="K510" s="40" t="str">
        <f t="shared" si="4"/>
        <v/>
      </c>
      <c r="L510" s="30">
        <f t="shared" si="5"/>
        <v>0</v>
      </c>
    </row>
    <row r="511" ht="15.75" customHeight="1">
      <c r="A511" s="21"/>
      <c r="B511" s="23"/>
      <c r="C511" s="23"/>
      <c r="D511" s="30" t="str">
        <f>IF(C511&lt;&gt;"",VLOOKUP(C511,ENSEIGNES!$B$2:$D971,2,FALSE),"")</f>
        <v/>
      </c>
      <c r="E511" s="30" t="str">
        <f>IF(C511&lt;&gt;"",VLOOKUP(C511,ENSEIGNES!$B$2:$D971,3,FALSE),"")</f>
        <v/>
      </c>
      <c r="F511" s="31"/>
      <c r="G511" s="32">
        <f t="shared" si="11"/>
        <v>0</v>
      </c>
      <c r="H511" s="34">
        <f>IF(D511="Direct",PARAMETRES!$C$20,IF(D511="Centrale",PARAMETRES!$C$21,0))</f>
        <v>0</v>
      </c>
      <c r="I511" s="38">
        <f t="shared" si="2"/>
        <v>0</v>
      </c>
      <c r="J511" s="40" t="str">
        <f t="shared" si="3"/>
        <v/>
      </c>
      <c r="K511" s="40" t="str">
        <f t="shared" si="4"/>
        <v/>
      </c>
      <c r="L511" s="30">
        <f t="shared" si="5"/>
        <v>0</v>
      </c>
    </row>
    <row r="512" ht="15.75" customHeight="1">
      <c r="A512" s="21"/>
      <c r="B512" s="23"/>
      <c r="C512" s="23"/>
      <c r="D512" s="30" t="str">
        <f>IF(C512&lt;&gt;"",VLOOKUP(C512,ENSEIGNES!$B$2:$D971,2,FALSE),"")</f>
        <v/>
      </c>
      <c r="E512" s="30" t="str">
        <f>IF(C512&lt;&gt;"",VLOOKUP(C512,ENSEIGNES!$B$2:$D971,3,FALSE),"")</f>
        <v/>
      </c>
      <c r="F512" s="31"/>
      <c r="G512" s="32">
        <f t="shared" si="11"/>
        <v>0</v>
      </c>
      <c r="H512" s="34">
        <f>IF(D512="Direct",PARAMETRES!$C$20,IF(D512="Centrale",PARAMETRES!$C$21,0))</f>
        <v>0</v>
      </c>
      <c r="I512" s="38">
        <f t="shared" si="2"/>
        <v>0</v>
      </c>
      <c r="J512" s="40" t="str">
        <f t="shared" si="3"/>
        <v/>
      </c>
      <c r="K512" s="40" t="str">
        <f t="shared" si="4"/>
        <v/>
      </c>
      <c r="L512" s="30">
        <f t="shared" si="5"/>
        <v>0</v>
      </c>
    </row>
    <row r="513" ht="15.75" customHeight="1">
      <c r="A513" s="21"/>
      <c r="B513" s="23"/>
      <c r="C513" s="23"/>
      <c r="D513" s="30" t="str">
        <f>IF(C513&lt;&gt;"",VLOOKUP(C513,ENSEIGNES!$B$2:$D971,2,FALSE),"")</f>
        <v/>
      </c>
      <c r="E513" s="30" t="str">
        <f>IF(C513&lt;&gt;"",VLOOKUP(C513,ENSEIGNES!$B$2:$D971,3,FALSE),"")</f>
        <v/>
      </c>
      <c r="F513" s="31"/>
      <c r="G513" s="32">
        <f t="shared" si="11"/>
        <v>0</v>
      </c>
      <c r="H513" s="34">
        <f>IF(D513="Direct",PARAMETRES!$C$20,IF(D513="Centrale",PARAMETRES!$C$21,0))</f>
        <v>0</v>
      </c>
      <c r="I513" s="38">
        <f t="shared" si="2"/>
        <v>0</v>
      </c>
      <c r="J513" s="40" t="str">
        <f t="shared" si="3"/>
        <v/>
      </c>
      <c r="K513" s="40" t="str">
        <f t="shared" si="4"/>
        <v/>
      </c>
      <c r="L513" s="30">
        <f t="shared" si="5"/>
        <v>0</v>
      </c>
    </row>
    <row r="514" ht="15.75" customHeight="1">
      <c r="A514" s="21"/>
      <c r="B514" s="23"/>
      <c r="C514" s="23"/>
      <c r="D514" s="30" t="str">
        <f>IF(C514&lt;&gt;"",VLOOKUP(C514,ENSEIGNES!$B$2:$D971,2,FALSE),"")</f>
        <v/>
      </c>
      <c r="E514" s="30" t="str">
        <f>IF(C514&lt;&gt;"",VLOOKUP(C514,ENSEIGNES!$B$2:$D971,3,FALSE),"")</f>
        <v/>
      </c>
      <c r="F514" s="31"/>
      <c r="G514" s="32">
        <f t="shared" si="11"/>
        <v>0</v>
      </c>
      <c r="H514" s="34">
        <f>IF(D514="Direct",PARAMETRES!$C$20,IF(D514="Centrale",PARAMETRES!$C$21,0))</f>
        <v>0</v>
      </c>
      <c r="I514" s="38">
        <f t="shared" si="2"/>
        <v>0</v>
      </c>
      <c r="J514" s="40" t="str">
        <f t="shared" si="3"/>
        <v/>
      </c>
      <c r="K514" s="40" t="str">
        <f t="shared" si="4"/>
        <v/>
      </c>
      <c r="L514" s="114"/>
    </row>
    <row r="515" ht="15.75" customHeight="1">
      <c r="A515" s="21"/>
      <c r="B515" s="23"/>
      <c r="C515" s="23"/>
      <c r="D515" s="30" t="str">
        <f>IF(C515&lt;&gt;"",VLOOKUP(C515,ENSEIGNES!$B$2:$D971,2,FALSE),"")</f>
        <v/>
      </c>
      <c r="E515" s="30" t="str">
        <f>IF(C515&lt;&gt;"",VLOOKUP(C515,ENSEIGNES!$B$2:$D971,3,FALSE),"")</f>
        <v/>
      </c>
      <c r="F515" s="31"/>
      <c r="G515" s="32">
        <f t="shared" si="11"/>
        <v>0</v>
      </c>
      <c r="H515" s="34">
        <f>IF(D515="Direct",PARAMETRES!$C$20,IF(D515="Centrale",PARAMETRES!$C$21,0))</f>
        <v>0</v>
      </c>
      <c r="I515" s="38">
        <f t="shared" si="2"/>
        <v>0</v>
      </c>
      <c r="J515" s="40" t="str">
        <f t="shared" si="3"/>
        <v/>
      </c>
      <c r="K515" s="40" t="str">
        <f t="shared" si="4"/>
        <v/>
      </c>
      <c r="L515" s="114"/>
    </row>
    <row r="516" ht="15.75" customHeight="1">
      <c r="A516" s="21"/>
      <c r="B516" s="23"/>
      <c r="C516" s="23"/>
      <c r="D516" s="30" t="str">
        <f>IF(C516&lt;&gt;"",VLOOKUP(C516,ENSEIGNES!$B$2:$D971,2,FALSE),"")</f>
        <v/>
      </c>
      <c r="E516" s="30" t="str">
        <f>IF(C516&lt;&gt;"",VLOOKUP(C516,ENSEIGNES!$B$2:$D971,3,FALSE),"")</f>
        <v/>
      </c>
      <c r="F516" s="31"/>
      <c r="G516" s="32">
        <f t="shared" si="11"/>
        <v>0</v>
      </c>
      <c r="H516" s="34">
        <f>IF(D516="Direct",PARAMETRES!$C$20,IF(D516="Centrale",PARAMETRES!$C$21,0))</f>
        <v>0</v>
      </c>
      <c r="I516" s="38">
        <f t="shared" si="2"/>
        <v>0</v>
      </c>
      <c r="J516" s="40" t="str">
        <f t="shared" si="3"/>
        <v/>
      </c>
      <c r="K516" s="40" t="str">
        <f t="shared" si="4"/>
        <v/>
      </c>
      <c r="L516" s="114"/>
    </row>
    <row r="517" ht="15.75" customHeight="1">
      <c r="A517" s="21"/>
      <c r="B517" s="23"/>
      <c r="C517" s="23"/>
      <c r="D517" s="30" t="str">
        <f>IF(C517&lt;&gt;"",VLOOKUP(C517,ENSEIGNES!$B$2:$D971,2,FALSE),"")</f>
        <v/>
      </c>
      <c r="E517" s="30" t="str">
        <f>IF(C517&lt;&gt;"",VLOOKUP(C517,ENSEIGNES!$B$2:$D971,3,FALSE),"")</f>
        <v/>
      </c>
      <c r="F517" s="31"/>
      <c r="G517" s="32">
        <f t="shared" si="11"/>
        <v>0</v>
      </c>
      <c r="H517" s="34">
        <f>IF(D517="Direct",PARAMETRES!$C$20,IF(D517="Centrale",PARAMETRES!$C$21,0))</f>
        <v>0</v>
      </c>
      <c r="I517" s="38">
        <f t="shared" si="2"/>
        <v>0</v>
      </c>
      <c r="J517" s="40" t="str">
        <f t="shared" si="3"/>
        <v/>
      </c>
      <c r="K517" s="40" t="str">
        <f t="shared" si="4"/>
        <v/>
      </c>
      <c r="L517" s="114"/>
    </row>
    <row r="518" ht="15.75" customHeight="1">
      <c r="A518" s="21"/>
      <c r="B518" s="23"/>
      <c r="C518" s="23"/>
      <c r="D518" s="30" t="str">
        <f>IF(C518&lt;&gt;"",VLOOKUP(C518,ENSEIGNES!$B$2:$D971,2,FALSE),"")</f>
        <v/>
      </c>
      <c r="E518" s="30" t="str">
        <f>IF(C518&lt;&gt;"",VLOOKUP(C518,ENSEIGNES!$B$2:$D971,3,FALSE),"")</f>
        <v/>
      </c>
      <c r="F518" s="31"/>
      <c r="G518" s="32">
        <f t="shared" si="11"/>
        <v>0</v>
      </c>
      <c r="H518" s="34">
        <f>IF(D518="Direct",PARAMETRES!$C$20,IF(D518="Centrale",PARAMETRES!$C$21,0))</f>
        <v>0</v>
      </c>
      <c r="I518" s="38">
        <f t="shared" si="2"/>
        <v>0</v>
      </c>
      <c r="J518" s="40" t="str">
        <f t="shared" si="3"/>
        <v/>
      </c>
      <c r="K518" s="40" t="str">
        <f t="shared" si="4"/>
        <v/>
      </c>
      <c r="L518" s="114"/>
    </row>
    <row r="519" ht="15.75" customHeight="1">
      <c r="A519" s="21"/>
      <c r="B519" s="23"/>
      <c r="C519" s="23"/>
      <c r="D519" s="30" t="str">
        <f>IF(C519&lt;&gt;"",VLOOKUP(C519,ENSEIGNES!$B$2:$D971,2,FALSE),"")</f>
        <v/>
      </c>
      <c r="E519" s="30" t="str">
        <f>IF(C519&lt;&gt;"",VLOOKUP(C519,ENSEIGNES!$B$2:$D971,3,FALSE),"")</f>
        <v/>
      </c>
      <c r="F519" s="31"/>
      <c r="G519" s="32">
        <f t="shared" si="11"/>
        <v>0</v>
      </c>
      <c r="H519" s="34">
        <f>IF(D519="Direct",PARAMETRES!$C$20,IF(D519="Centrale",PARAMETRES!$C$21,0))</f>
        <v>0</v>
      </c>
      <c r="I519" s="38">
        <f t="shared" si="2"/>
        <v>0</v>
      </c>
      <c r="J519" s="40" t="str">
        <f t="shared" si="3"/>
        <v/>
      </c>
      <c r="K519" s="40" t="str">
        <f t="shared" si="4"/>
        <v/>
      </c>
      <c r="L519" s="114"/>
    </row>
    <row r="520" ht="15.75" customHeight="1">
      <c r="A520" s="21"/>
      <c r="B520" s="23"/>
      <c r="C520" s="23"/>
      <c r="D520" s="30" t="str">
        <f>IF(C520&lt;&gt;"",VLOOKUP(C520,ENSEIGNES!$B$2:$D971,2,FALSE),"")</f>
        <v/>
      </c>
      <c r="E520" s="30" t="str">
        <f>IF(C520&lt;&gt;"",VLOOKUP(C520,ENSEIGNES!$B$2:$D971,3,FALSE),"")</f>
        <v/>
      </c>
      <c r="F520" s="31"/>
      <c r="G520" s="32">
        <f t="shared" si="11"/>
        <v>0</v>
      </c>
      <c r="H520" s="34">
        <f>IF(D520="Direct",PARAMETRES!$C$20,IF(D520="Centrale",PARAMETRES!$C$21,0))</f>
        <v>0</v>
      </c>
      <c r="I520" s="38">
        <f t="shared" si="2"/>
        <v>0</v>
      </c>
      <c r="J520" s="40" t="str">
        <f t="shared" si="3"/>
        <v/>
      </c>
      <c r="K520" s="40" t="str">
        <f t="shared" si="4"/>
        <v/>
      </c>
      <c r="L520" s="114"/>
    </row>
    <row r="521" ht="15.75" customHeight="1">
      <c r="A521" s="21"/>
      <c r="B521" s="23"/>
      <c r="C521" s="23"/>
      <c r="D521" s="30" t="str">
        <f>IF(C521&lt;&gt;"",VLOOKUP(C521,ENSEIGNES!$B$2:$D971,2,FALSE),"")</f>
        <v/>
      </c>
      <c r="E521" s="30" t="str">
        <f>IF(C521&lt;&gt;"",VLOOKUP(C521,ENSEIGNES!$B$2:$D971,3,FALSE),"")</f>
        <v/>
      </c>
      <c r="F521" s="31"/>
      <c r="G521" s="32">
        <f t="shared" si="11"/>
        <v>0</v>
      </c>
      <c r="H521" s="34">
        <f>IF(D521="Direct",PARAMETRES!$C$20,IF(D521="Centrale",PARAMETRES!$C$21,0))</f>
        <v>0</v>
      </c>
      <c r="I521" s="38">
        <f t="shared" si="2"/>
        <v>0</v>
      </c>
      <c r="J521" s="40" t="str">
        <f t="shared" si="3"/>
        <v/>
      </c>
      <c r="K521" s="40" t="str">
        <f t="shared" si="4"/>
        <v/>
      </c>
      <c r="L521" s="114"/>
    </row>
    <row r="522" ht="15.75" customHeight="1">
      <c r="A522" s="21"/>
      <c r="B522" s="23"/>
      <c r="C522" s="23"/>
      <c r="D522" s="30" t="str">
        <f>IF(C522&lt;&gt;"",VLOOKUP(C522,ENSEIGNES!$B$2:$D971,2,FALSE),"")</f>
        <v/>
      </c>
      <c r="E522" s="30" t="str">
        <f>IF(C522&lt;&gt;"",VLOOKUP(C522,ENSEIGNES!$B$2:$D971,3,FALSE),"")</f>
        <v/>
      </c>
      <c r="F522" s="31"/>
      <c r="G522" s="32">
        <f t="shared" si="11"/>
        <v>0</v>
      </c>
      <c r="H522" s="34">
        <f>IF(D522="Direct",PARAMETRES!$C$20,IF(D522="Centrale",PARAMETRES!$C$21,0))</f>
        <v>0</v>
      </c>
      <c r="I522" s="38">
        <f t="shared" si="2"/>
        <v>0</v>
      </c>
      <c r="J522" s="40" t="str">
        <f t="shared" si="3"/>
        <v/>
      </c>
      <c r="K522" s="40" t="str">
        <f t="shared" si="4"/>
        <v/>
      </c>
      <c r="L522" s="114"/>
    </row>
    <row r="523" ht="15.75" customHeight="1">
      <c r="A523" s="21"/>
      <c r="B523" s="23"/>
      <c r="C523" s="23"/>
      <c r="D523" s="30" t="str">
        <f>IF(C523&lt;&gt;"",VLOOKUP(C523,ENSEIGNES!$B$2:$D971,2,FALSE),"")</f>
        <v/>
      </c>
      <c r="E523" s="30" t="str">
        <f>IF(C523&lt;&gt;"",VLOOKUP(C523,ENSEIGNES!$B$2:$D971,3,FALSE),"")</f>
        <v/>
      </c>
      <c r="F523" s="31"/>
      <c r="G523" s="32">
        <f t="shared" si="11"/>
        <v>0</v>
      </c>
      <c r="H523" s="34">
        <f>IF(D523="Direct",PARAMETRES!$C$20,IF(D523="Centrale",PARAMETRES!$C$21,0))</f>
        <v>0</v>
      </c>
      <c r="I523" s="38">
        <f t="shared" si="2"/>
        <v>0</v>
      </c>
      <c r="J523" s="40" t="str">
        <f t="shared" si="3"/>
        <v/>
      </c>
      <c r="K523" s="40" t="str">
        <f t="shared" si="4"/>
        <v/>
      </c>
      <c r="L523" s="114"/>
    </row>
    <row r="524" ht="15.75" customHeight="1">
      <c r="A524" s="21"/>
      <c r="B524" s="23"/>
      <c r="C524" s="23"/>
      <c r="D524" s="30" t="str">
        <f>IF(C524&lt;&gt;"",VLOOKUP(C524,ENSEIGNES!$B$2:$D971,2,FALSE),"")</f>
        <v/>
      </c>
      <c r="E524" s="30" t="str">
        <f>IF(C524&lt;&gt;"",VLOOKUP(C524,ENSEIGNES!$B$2:$D971,3,FALSE),"")</f>
        <v/>
      </c>
      <c r="F524" s="31"/>
      <c r="G524" s="32">
        <f t="shared" si="11"/>
        <v>0</v>
      </c>
      <c r="H524" s="34">
        <f>IF(D524="Direct",PARAMETRES!$C$20,IF(D524="Centrale",PARAMETRES!$C$21,0))</f>
        <v>0</v>
      </c>
      <c r="I524" s="38">
        <f t="shared" si="2"/>
        <v>0</v>
      </c>
      <c r="J524" s="40" t="str">
        <f t="shared" si="3"/>
        <v/>
      </c>
      <c r="K524" s="40" t="str">
        <f t="shared" si="4"/>
        <v/>
      </c>
      <c r="L524" s="114"/>
    </row>
    <row r="525" ht="15.75" customHeight="1">
      <c r="A525" s="21"/>
      <c r="B525" s="23"/>
      <c r="C525" s="23"/>
      <c r="D525" s="30" t="str">
        <f>IF(C525&lt;&gt;"",VLOOKUP(C525,ENSEIGNES!$B$2:$D971,2,FALSE),"")</f>
        <v/>
      </c>
      <c r="E525" s="30" t="str">
        <f>IF(C525&lt;&gt;"",VLOOKUP(C525,ENSEIGNES!$B$2:$D971,3,FALSE),"")</f>
        <v/>
      </c>
      <c r="F525" s="31"/>
      <c r="G525" s="32">
        <f t="shared" si="11"/>
        <v>0</v>
      </c>
      <c r="H525" s="34">
        <f>IF(D525="Direct",PARAMETRES!$C$20,IF(D525="Centrale",PARAMETRES!$C$21,0))</f>
        <v>0</v>
      </c>
      <c r="I525" s="38">
        <f t="shared" si="2"/>
        <v>0</v>
      </c>
      <c r="J525" s="40" t="str">
        <f t="shared" si="3"/>
        <v/>
      </c>
      <c r="K525" s="40" t="str">
        <f t="shared" si="4"/>
        <v/>
      </c>
      <c r="L525" s="114"/>
    </row>
    <row r="526" ht="15.75" customHeight="1">
      <c r="A526" s="21"/>
      <c r="B526" s="23"/>
      <c r="C526" s="23"/>
      <c r="D526" s="30" t="str">
        <f>IF(C526&lt;&gt;"",VLOOKUP(C526,ENSEIGNES!$B$2:$D971,2,FALSE),"")</f>
        <v/>
      </c>
      <c r="E526" s="30" t="str">
        <f>IF(C526&lt;&gt;"",VLOOKUP(C526,ENSEIGNES!$B$2:$D971,3,FALSE),"")</f>
        <v/>
      </c>
      <c r="F526" s="31"/>
      <c r="G526" s="32">
        <f t="shared" si="11"/>
        <v>0</v>
      </c>
      <c r="H526" s="34">
        <f>IF(D526="Direct",PARAMETRES!$C$20,IF(D526="Centrale",PARAMETRES!$C$21,0))</f>
        <v>0</v>
      </c>
      <c r="I526" s="38">
        <f t="shared" si="2"/>
        <v>0</v>
      </c>
      <c r="J526" s="40" t="str">
        <f t="shared" si="3"/>
        <v/>
      </c>
      <c r="K526" s="40" t="str">
        <f t="shared" si="4"/>
        <v/>
      </c>
      <c r="L526" s="114"/>
    </row>
    <row r="527" ht="15.75" customHeight="1">
      <c r="A527" s="21"/>
      <c r="B527" s="23"/>
      <c r="C527" s="23"/>
      <c r="D527" s="30" t="str">
        <f>IF(C527&lt;&gt;"",VLOOKUP(C527,ENSEIGNES!$B$2:$D971,2,FALSE),"")</f>
        <v/>
      </c>
      <c r="E527" s="30" t="str">
        <f>IF(C527&lt;&gt;"",VLOOKUP(C527,ENSEIGNES!$B$2:$D971,3,FALSE),"")</f>
        <v/>
      </c>
      <c r="F527" s="31"/>
      <c r="G527" s="32">
        <f t="shared" si="11"/>
        <v>0</v>
      </c>
      <c r="H527" s="34">
        <f>IF(D527="Direct",PARAMETRES!$C$20,IF(D527="Centrale",PARAMETRES!$C$21,0))</f>
        <v>0</v>
      </c>
      <c r="I527" s="38">
        <f t="shared" si="2"/>
        <v>0</v>
      </c>
      <c r="J527" s="40" t="str">
        <f t="shared" si="3"/>
        <v/>
      </c>
      <c r="K527" s="40" t="str">
        <f t="shared" si="4"/>
        <v/>
      </c>
      <c r="L527" s="114"/>
    </row>
    <row r="528" ht="15.75" customHeight="1">
      <c r="A528" s="21"/>
      <c r="B528" s="23"/>
      <c r="C528" s="23"/>
      <c r="D528" s="30" t="str">
        <f>IF(C528&lt;&gt;"",VLOOKUP(C528,ENSEIGNES!$B$2:$D971,2,FALSE),"")</f>
        <v/>
      </c>
      <c r="E528" s="30" t="str">
        <f>IF(C528&lt;&gt;"",VLOOKUP(C528,ENSEIGNES!$B$2:$D971,3,FALSE),"")</f>
        <v/>
      </c>
      <c r="F528" s="31"/>
      <c r="G528" s="32">
        <f t="shared" si="11"/>
        <v>0</v>
      </c>
      <c r="H528" s="34">
        <f>IF(D528="Direct",PARAMETRES!$C$20,IF(D528="Centrale",PARAMETRES!$C$21,0))</f>
        <v>0</v>
      </c>
      <c r="I528" s="38">
        <f t="shared" si="2"/>
        <v>0</v>
      </c>
      <c r="J528" s="40" t="str">
        <f t="shared" si="3"/>
        <v/>
      </c>
      <c r="K528" s="40" t="str">
        <f t="shared" si="4"/>
        <v/>
      </c>
      <c r="L528" s="114"/>
    </row>
    <row r="529" ht="15.75" customHeight="1">
      <c r="A529" s="21"/>
      <c r="B529" s="23"/>
      <c r="C529" s="23"/>
      <c r="D529" s="30" t="str">
        <f>IF(C529&lt;&gt;"",VLOOKUP(C529,ENSEIGNES!$B$2:$D971,2,FALSE),"")</f>
        <v/>
      </c>
      <c r="E529" s="30" t="str">
        <f>IF(C529&lt;&gt;"",VLOOKUP(C529,ENSEIGNES!$B$2:$D971,3,FALSE),"")</f>
        <v/>
      </c>
      <c r="F529" s="31"/>
      <c r="G529" s="32">
        <f t="shared" si="11"/>
        <v>0</v>
      </c>
      <c r="H529" s="34">
        <f>IF(D529="Direct",PARAMETRES!$C$20,IF(D529="Centrale",PARAMETRES!$C$21,0))</f>
        <v>0</v>
      </c>
      <c r="I529" s="38">
        <f t="shared" si="2"/>
        <v>0</v>
      </c>
      <c r="J529" s="40" t="str">
        <f t="shared" si="3"/>
        <v/>
      </c>
      <c r="K529" s="40" t="str">
        <f t="shared" si="4"/>
        <v/>
      </c>
      <c r="L529" s="114"/>
    </row>
    <row r="530" ht="15.75" customHeight="1">
      <c r="A530" s="21"/>
      <c r="B530" s="23"/>
      <c r="C530" s="23"/>
      <c r="D530" s="30" t="str">
        <f>IF(C530&lt;&gt;"",VLOOKUP(C530,ENSEIGNES!$B$2:$D971,2,FALSE),"")</f>
        <v/>
      </c>
      <c r="E530" s="30" t="str">
        <f>IF(C530&lt;&gt;"",VLOOKUP(C530,ENSEIGNES!$B$2:$D971,3,FALSE),"")</f>
        <v/>
      </c>
      <c r="F530" s="31"/>
      <c r="G530" s="32">
        <f t="shared" si="11"/>
        <v>0</v>
      </c>
      <c r="H530" s="34">
        <f>IF(D530="Direct",PARAMETRES!$C$20,IF(D530="Centrale",PARAMETRES!$C$21,0))</f>
        <v>0</v>
      </c>
      <c r="I530" s="38">
        <f t="shared" si="2"/>
        <v>0</v>
      </c>
      <c r="J530" s="40" t="str">
        <f t="shared" si="3"/>
        <v/>
      </c>
      <c r="K530" s="40" t="str">
        <f t="shared" si="4"/>
        <v/>
      </c>
      <c r="L530" s="114"/>
    </row>
    <row r="531" ht="15.75" customHeight="1">
      <c r="A531" s="21"/>
      <c r="B531" s="23"/>
      <c r="C531" s="23"/>
      <c r="D531" s="30" t="str">
        <f>IF(C531&lt;&gt;"",VLOOKUP(C531,ENSEIGNES!$B$2:$D971,2,FALSE),"")</f>
        <v/>
      </c>
      <c r="E531" s="30" t="str">
        <f>IF(C531&lt;&gt;"",VLOOKUP(C531,ENSEIGNES!$B$2:$D971,3,FALSE),"")</f>
        <v/>
      </c>
      <c r="F531" s="31"/>
      <c r="G531" s="32">
        <f t="shared" si="11"/>
        <v>0</v>
      </c>
      <c r="H531" s="34">
        <f>IF(D531="Direct",PARAMETRES!$C$20,IF(D531="Centrale",PARAMETRES!$C$21,0))</f>
        <v>0</v>
      </c>
      <c r="I531" s="38">
        <f t="shared" si="2"/>
        <v>0</v>
      </c>
      <c r="J531" s="40" t="str">
        <f t="shared" si="3"/>
        <v/>
      </c>
      <c r="K531" s="40" t="str">
        <f t="shared" si="4"/>
        <v/>
      </c>
      <c r="L531" s="114"/>
    </row>
    <row r="532" ht="15.75" customHeight="1">
      <c r="A532" s="21"/>
      <c r="B532" s="23"/>
      <c r="C532" s="23"/>
      <c r="D532" s="30" t="str">
        <f>IF(C532&lt;&gt;"",VLOOKUP(C532,ENSEIGNES!$B$2:$D971,2,FALSE),"")</f>
        <v/>
      </c>
      <c r="E532" s="30" t="str">
        <f>IF(C532&lt;&gt;"",VLOOKUP(C532,ENSEIGNES!$B$2:$D971,3,FALSE),"")</f>
        <v/>
      </c>
      <c r="F532" s="31"/>
      <c r="G532" s="32">
        <f t="shared" si="11"/>
        <v>0</v>
      </c>
      <c r="H532" s="34">
        <f>IF(D532="Direct",PARAMETRES!$C$20,IF(D532="Centrale",PARAMETRES!$C$21,0))</f>
        <v>0</v>
      </c>
      <c r="I532" s="38">
        <f t="shared" si="2"/>
        <v>0</v>
      </c>
      <c r="J532" s="40" t="str">
        <f t="shared" si="3"/>
        <v/>
      </c>
      <c r="K532" s="40" t="str">
        <f t="shared" si="4"/>
        <v/>
      </c>
      <c r="L532" s="114"/>
    </row>
    <row r="533" ht="15.75" customHeight="1">
      <c r="A533" s="21"/>
      <c r="B533" s="23"/>
      <c r="C533" s="23"/>
      <c r="D533" s="30" t="str">
        <f>IF(C533&lt;&gt;"",VLOOKUP(C533,ENSEIGNES!$B$2:$D971,2,FALSE),"")</f>
        <v/>
      </c>
      <c r="E533" s="30" t="str">
        <f>IF(C533&lt;&gt;"",VLOOKUP(C533,ENSEIGNES!$B$2:$D971,3,FALSE),"")</f>
        <v/>
      </c>
      <c r="F533" s="31"/>
      <c r="G533" s="32">
        <f t="shared" si="11"/>
        <v>0</v>
      </c>
      <c r="H533" s="34">
        <f>IF(D533="Direct",PARAMETRES!$C$20,IF(D533="Centrale",PARAMETRES!$C$21,0))</f>
        <v>0</v>
      </c>
      <c r="I533" s="38">
        <f t="shared" si="2"/>
        <v>0</v>
      </c>
      <c r="J533" s="40" t="str">
        <f t="shared" si="3"/>
        <v/>
      </c>
      <c r="K533" s="40" t="str">
        <f t="shared" si="4"/>
        <v/>
      </c>
      <c r="L533" s="114"/>
    </row>
    <row r="534" ht="15.75" customHeight="1">
      <c r="A534" s="21"/>
      <c r="B534" s="23"/>
      <c r="C534" s="23"/>
      <c r="D534" s="30" t="str">
        <f>IF(C534&lt;&gt;"",VLOOKUP(C534,ENSEIGNES!$B$2:$D971,2,FALSE),"")</f>
        <v/>
      </c>
      <c r="E534" s="30" t="str">
        <f>IF(C534&lt;&gt;"",VLOOKUP(C534,ENSEIGNES!$B$2:$D971,3,FALSE),"")</f>
        <v/>
      </c>
      <c r="F534" s="31"/>
      <c r="G534" s="32">
        <f t="shared" si="11"/>
        <v>0</v>
      </c>
      <c r="H534" s="34">
        <f>IF(D534="Direct",PARAMETRES!$C$20,IF(D534="Centrale",PARAMETRES!$C$21,0))</f>
        <v>0</v>
      </c>
      <c r="I534" s="38">
        <f t="shared" si="2"/>
        <v>0</v>
      </c>
      <c r="J534" s="40" t="str">
        <f t="shared" si="3"/>
        <v/>
      </c>
      <c r="K534" s="40" t="str">
        <f t="shared" si="4"/>
        <v/>
      </c>
      <c r="L534" s="114"/>
    </row>
    <row r="535" ht="15.75" customHeight="1">
      <c r="A535" s="21"/>
      <c r="B535" s="23"/>
      <c r="C535" s="23"/>
      <c r="D535" s="30" t="str">
        <f>IF(C535&lt;&gt;"",VLOOKUP(C535,ENSEIGNES!$B$2:$D971,2,FALSE),"")</f>
        <v/>
      </c>
      <c r="E535" s="30" t="str">
        <f>IF(C535&lt;&gt;"",VLOOKUP(C535,ENSEIGNES!$B$2:$D971,3,FALSE),"")</f>
        <v/>
      </c>
      <c r="F535" s="31"/>
      <c r="G535" s="32">
        <f t="shared" si="11"/>
        <v>0</v>
      </c>
      <c r="H535" s="34">
        <f>IF(D535="Direct",PARAMETRES!$C$20,IF(D535="Centrale",PARAMETRES!$C$21,0))</f>
        <v>0</v>
      </c>
      <c r="I535" s="38">
        <f t="shared" si="2"/>
        <v>0</v>
      </c>
      <c r="J535" s="40" t="str">
        <f t="shared" si="3"/>
        <v/>
      </c>
      <c r="K535" s="40" t="str">
        <f t="shared" si="4"/>
        <v/>
      </c>
      <c r="L535" s="114"/>
    </row>
    <row r="536" ht="15.75" customHeight="1">
      <c r="A536" s="21"/>
      <c r="B536" s="23"/>
      <c r="C536" s="23"/>
      <c r="D536" s="30" t="str">
        <f>IF(C536&lt;&gt;"",VLOOKUP(C536,ENSEIGNES!$B$2:$D971,2,FALSE),"")</f>
        <v/>
      </c>
      <c r="E536" s="30" t="str">
        <f>IF(C536&lt;&gt;"",VLOOKUP(C536,ENSEIGNES!$B$2:$D971,3,FALSE),"")</f>
        <v/>
      </c>
      <c r="F536" s="31"/>
      <c r="G536" s="32">
        <f t="shared" si="11"/>
        <v>0</v>
      </c>
      <c r="H536" s="34">
        <f>IF(D536="Direct",PARAMETRES!$C$20,IF(D536="Centrale",PARAMETRES!$C$21,0))</f>
        <v>0</v>
      </c>
      <c r="I536" s="38">
        <f t="shared" si="2"/>
        <v>0</v>
      </c>
      <c r="J536" s="40" t="str">
        <f t="shared" si="3"/>
        <v/>
      </c>
      <c r="K536" s="40" t="str">
        <f t="shared" si="4"/>
        <v/>
      </c>
      <c r="L536" s="114"/>
    </row>
    <row r="537" ht="15.75" customHeight="1">
      <c r="A537" s="21"/>
      <c r="B537" s="23"/>
      <c r="C537" s="23"/>
      <c r="D537" s="30" t="str">
        <f>IF(C537&lt;&gt;"",VLOOKUP(C537,ENSEIGNES!$B$2:$D971,2,FALSE),"")</f>
        <v/>
      </c>
      <c r="E537" s="30" t="str">
        <f>IF(C537&lt;&gt;"",VLOOKUP(C537,ENSEIGNES!$B$2:$D971,3,FALSE),"")</f>
        <v/>
      </c>
      <c r="F537" s="31"/>
      <c r="G537" s="32">
        <f t="shared" si="11"/>
        <v>0</v>
      </c>
      <c r="H537" s="34">
        <f>IF(D537="Direct",PARAMETRES!$C$20,IF(D537="Centrale",PARAMETRES!$C$21,0))</f>
        <v>0</v>
      </c>
      <c r="I537" s="38">
        <f t="shared" si="2"/>
        <v>0</v>
      </c>
      <c r="J537" s="40" t="str">
        <f t="shared" si="3"/>
        <v/>
      </c>
      <c r="K537" s="40" t="str">
        <f t="shared" si="4"/>
        <v/>
      </c>
      <c r="L537" s="114"/>
    </row>
    <row r="538" ht="15.75" customHeight="1">
      <c r="A538" s="21"/>
      <c r="B538" s="23"/>
      <c r="C538" s="23"/>
      <c r="D538" s="30" t="str">
        <f>IF(C538&lt;&gt;"",VLOOKUP(C538,ENSEIGNES!$B$2:$D971,2,FALSE),"")</f>
        <v/>
      </c>
      <c r="E538" s="30" t="str">
        <f>IF(C538&lt;&gt;"",VLOOKUP(C538,ENSEIGNES!$B$2:$D971,3,FALSE),"")</f>
        <v/>
      </c>
      <c r="F538" s="31"/>
      <c r="G538" s="32">
        <f t="shared" si="11"/>
        <v>0</v>
      </c>
      <c r="H538" s="34">
        <f>IF(D538="Direct",PARAMETRES!$C$20,IF(D538="Centrale",PARAMETRES!$C$21,0))</f>
        <v>0</v>
      </c>
      <c r="I538" s="38">
        <f t="shared" si="2"/>
        <v>0</v>
      </c>
      <c r="J538" s="40" t="str">
        <f t="shared" si="3"/>
        <v/>
      </c>
      <c r="K538" s="40" t="str">
        <f t="shared" si="4"/>
        <v/>
      </c>
      <c r="L538" s="114"/>
    </row>
    <row r="539" ht="15.75" customHeight="1">
      <c r="A539" s="21"/>
      <c r="B539" s="23"/>
      <c r="C539" s="23"/>
      <c r="D539" s="30" t="str">
        <f>IF(C539&lt;&gt;"",VLOOKUP(C539,ENSEIGNES!$B$2:$D971,2,FALSE),"")</f>
        <v/>
      </c>
      <c r="E539" s="30" t="str">
        <f>IF(C539&lt;&gt;"",VLOOKUP(C539,ENSEIGNES!$B$2:$D971,3,FALSE),"")</f>
        <v/>
      </c>
      <c r="F539" s="31"/>
      <c r="G539" s="32">
        <f t="shared" si="11"/>
        <v>0</v>
      </c>
      <c r="H539" s="34">
        <f>IF(D539="Direct",PARAMETRES!$C$20,IF(D539="Centrale",PARAMETRES!$C$21,0))</f>
        <v>0</v>
      </c>
      <c r="I539" s="38">
        <f t="shared" si="2"/>
        <v>0</v>
      </c>
      <c r="J539" s="40" t="str">
        <f t="shared" si="3"/>
        <v/>
      </c>
      <c r="K539" s="40" t="str">
        <f t="shared" si="4"/>
        <v/>
      </c>
      <c r="L539" s="114"/>
    </row>
    <row r="540" ht="15.75" customHeight="1">
      <c r="A540" s="21"/>
      <c r="B540" s="23"/>
      <c r="C540" s="23"/>
      <c r="D540" s="30" t="str">
        <f>IF(C540&lt;&gt;"",VLOOKUP(C540,ENSEIGNES!$B$2:$D971,2,FALSE),"")</f>
        <v/>
      </c>
      <c r="E540" s="30" t="str">
        <f>IF(C540&lt;&gt;"",VLOOKUP(C540,ENSEIGNES!$B$2:$D971,3,FALSE),"")</f>
        <v/>
      </c>
      <c r="F540" s="31"/>
      <c r="G540" s="115"/>
      <c r="H540" s="34">
        <f>IF(D540="Direct",PARAMETRES!$C$20,IF(D540="Centrale",PARAMETRES!$C$21,0))</f>
        <v>0</v>
      </c>
      <c r="I540" s="38">
        <f t="shared" si="2"/>
        <v>0</v>
      </c>
      <c r="J540" s="40" t="str">
        <f t="shared" si="3"/>
        <v/>
      </c>
      <c r="K540" s="40" t="str">
        <f t="shared" si="4"/>
        <v/>
      </c>
      <c r="L540" s="114"/>
    </row>
    <row r="541" ht="15.75" customHeight="1">
      <c r="A541" s="21"/>
      <c r="B541" s="23"/>
      <c r="C541" s="23"/>
      <c r="D541" s="30" t="str">
        <f>IF(C541&lt;&gt;"",VLOOKUP(C541,ENSEIGNES!$B$2:$D971,2,FALSE),"")</f>
        <v/>
      </c>
      <c r="E541" s="30" t="str">
        <f>IF(C541&lt;&gt;"",VLOOKUP(C541,ENSEIGNES!$B$2:$D971,3,FALSE),"")</f>
        <v/>
      </c>
      <c r="F541" s="31"/>
      <c r="G541" s="115"/>
      <c r="H541" s="34">
        <f>IF(D541="Direct",PARAMETRES!$C$20,IF(D541="Centrale",PARAMETRES!$C$21,0))</f>
        <v>0</v>
      </c>
      <c r="I541" s="38">
        <f t="shared" si="2"/>
        <v>0</v>
      </c>
      <c r="J541" s="40" t="str">
        <f t="shared" si="3"/>
        <v/>
      </c>
      <c r="K541" s="40" t="str">
        <f t="shared" si="4"/>
        <v/>
      </c>
      <c r="L541" s="114"/>
    </row>
    <row r="542" ht="15.75" customHeight="1">
      <c r="A542" s="21"/>
      <c r="B542" s="23"/>
      <c r="C542" s="23"/>
      <c r="D542" s="30" t="str">
        <f>IF(C542&lt;&gt;"",VLOOKUP(C542,ENSEIGNES!$B$2:$D971,2,FALSE),"")</f>
        <v/>
      </c>
      <c r="E542" s="30" t="str">
        <f>IF(C542&lt;&gt;"",VLOOKUP(C542,ENSEIGNES!$B$2:$D971,3,FALSE),"")</f>
        <v/>
      </c>
      <c r="F542" s="31"/>
      <c r="G542" s="115"/>
      <c r="H542" s="34">
        <f>IF(D542="Direct",PARAMETRES!$C$20,IF(D542="Centrale",PARAMETRES!$C$21,0))</f>
        <v>0</v>
      </c>
      <c r="I542" s="38">
        <f t="shared" si="2"/>
        <v>0</v>
      </c>
      <c r="J542" s="40" t="str">
        <f t="shared" si="3"/>
        <v/>
      </c>
      <c r="K542" s="40" t="str">
        <f t="shared" si="4"/>
        <v/>
      </c>
      <c r="L542" s="114"/>
    </row>
    <row r="543" ht="15.75" customHeight="1">
      <c r="A543" s="21"/>
      <c r="B543" s="23"/>
      <c r="C543" s="23"/>
      <c r="D543" s="30" t="str">
        <f>IF(C543&lt;&gt;"",VLOOKUP(C543,ENSEIGNES!$B$2:$D971,2,FALSE),"")</f>
        <v/>
      </c>
      <c r="E543" s="30" t="str">
        <f>IF(C543&lt;&gt;"",VLOOKUP(C543,ENSEIGNES!$B$2:$D971,3,FALSE),"")</f>
        <v/>
      </c>
      <c r="F543" s="31"/>
      <c r="G543" s="115"/>
      <c r="H543" s="34">
        <f>IF(D543="Direct",PARAMETRES!$C$20,IF(D543="Centrale",PARAMETRES!$C$21,0))</f>
        <v>0</v>
      </c>
      <c r="I543" s="38">
        <f t="shared" si="2"/>
        <v>0</v>
      </c>
      <c r="J543" s="40" t="str">
        <f t="shared" si="3"/>
        <v/>
      </c>
      <c r="K543" s="40" t="str">
        <f t="shared" si="4"/>
        <v/>
      </c>
      <c r="L543" s="114"/>
    </row>
    <row r="544" ht="15.75" customHeight="1">
      <c r="A544" s="21"/>
      <c r="B544" s="23"/>
      <c r="C544" s="23"/>
      <c r="D544" s="30" t="str">
        <f>IF(C544&lt;&gt;"",VLOOKUP(C544,ENSEIGNES!$B$2:$D971,2,FALSE),"")</f>
        <v/>
      </c>
      <c r="E544" s="30" t="str">
        <f>IF(C544&lt;&gt;"",VLOOKUP(C544,ENSEIGNES!$B$2:$D971,3,FALSE),"")</f>
        <v/>
      </c>
      <c r="F544" s="31"/>
      <c r="G544" s="115"/>
      <c r="H544" s="34">
        <f>IF(D544="Direct",PARAMETRES!$C$20,IF(D544="Centrale",PARAMETRES!$C$21,0))</f>
        <v>0</v>
      </c>
      <c r="I544" s="38">
        <f t="shared" si="2"/>
        <v>0</v>
      </c>
      <c r="J544" s="40" t="str">
        <f t="shared" si="3"/>
        <v/>
      </c>
      <c r="K544" s="40" t="str">
        <f t="shared" si="4"/>
        <v/>
      </c>
      <c r="L544" s="114"/>
    </row>
    <row r="545" ht="15.75" customHeight="1">
      <c r="A545" s="21"/>
      <c r="B545" s="23"/>
      <c r="C545" s="23"/>
      <c r="D545" s="30" t="str">
        <f>IF(C545&lt;&gt;"",VLOOKUP(C545,ENSEIGNES!$B$2:$D971,2,FALSE),"")</f>
        <v/>
      </c>
      <c r="E545" s="30" t="str">
        <f>IF(C545&lt;&gt;"",VLOOKUP(C545,ENSEIGNES!$B$2:$D971,3,FALSE),"")</f>
        <v/>
      </c>
      <c r="F545" s="31"/>
      <c r="G545" s="115"/>
      <c r="H545" s="34">
        <f>IF(D545="Direct",PARAMETRES!$C$20,IF(D545="Centrale",PARAMETRES!$C$21,0))</f>
        <v>0</v>
      </c>
      <c r="I545" s="38">
        <f t="shared" si="2"/>
        <v>0</v>
      </c>
      <c r="J545" s="40" t="str">
        <f t="shared" si="3"/>
        <v/>
      </c>
      <c r="K545" s="40" t="str">
        <f t="shared" si="4"/>
        <v/>
      </c>
      <c r="L545" s="114"/>
    </row>
    <row r="546" ht="15.75" customHeight="1">
      <c r="A546" s="21"/>
      <c r="B546" s="23"/>
      <c r="C546" s="23"/>
      <c r="D546" s="30" t="str">
        <f>IF(C546&lt;&gt;"",VLOOKUP(C546,ENSEIGNES!$B$2:$D971,2,FALSE),"")</f>
        <v/>
      </c>
      <c r="E546" s="30" t="str">
        <f>IF(C546&lt;&gt;"",VLOOKUP(C546,ENSEIGNES!$B$2:$D971,3,FALSE),"")</f>
        <v/>
      </c>
      <c r="F546" s="31"/>
      <c r="G546" s="115"/>
      <c r="H546" s="34">
        <f>IF(D546="Direct",PARAMETRES!$C$20,IF(D546="Centrale",PARAMETRES!$C$21,0))</f>
        <v>0</v>
      </c>
      <c r="I546" s="38">
        <f t="shared" si="2"/>
        <v>0</v>
      </c>
      <c r="J546" s="40" t="str">
        <f t="shared" si="3"/>
        <v/>
      </c>
      <c r="K546" s="40" t="str">
        <f t="shared" si="4"/>
        <v/>
      </c>
      <c r="L546" s="114"/>
    </row>
    <row r="547" ht="15.75" customHeight="1">
      <c r="A547" s="21"/>
      <c r="B547" s="23"/>
      <c r="C547" s="23"/>
      <c r="D547" s="30" t="str">
        <f>IF(C547&lt;&gt;"",VLOOKUP(C547,ENSEIGNES!$B$2:$D971,2,FALSE),"")</f>
        <v/>
      </c>
      <c r="E547" s="30" t="str">
        <f>IF(C547&lt;&gt;"",VLOOKUP(C547,ENSEIGNES!$B$2:$D971,3,FALSE),"")</f>
        <v/>
      </c>
      <c r="F547" s="31"/>
      <c r="G547" s="115"/>
      <c r="H547" s="34">
        <f>IF(D547="Direct",PARAMETRES!$C$20,IF(D547="Centrale",PARAMETRES!$C$21,0))</f>
        <v>0</v>
      </c>
      <c r="I547" s="38">
        <f t="shared" si="2"/>
        <v>0</v>
      </c>
      <c r="J547" s="40" t="str">
        <f t="shared" si="3"/>
        <v/>
      </c>
      <c r="K547" s="40" t="str">
        <f t="shared" si="4"/>
        <v/>
      </c>
      <c r="L547" s="114"/>
    </row>
    <row r="548" ht="15.75" customHeight="1">
      <c r="A548" s="21"/>
      <c r="B548" s="23"/>
      <c r="C548" s="23"/>
      <c r="D548" s="30" t="str">
        <f>IF(C548&lt;&gt;"",VLOOKUP(C548,ENSEIGNES!$B$2:$D971,2,FALSE),"")</f>
        <v/>
      </c>
      <c r="E548" s="30" t="str">
        <f>IF(C548&lt;&gt;"",VLOOKUP(C548,ENSEIGNES!$B$2:$D971,3,FALSE),"")</f>
        <v/>
      </c>
      <c r="F548" s="31"/>
      <c r="G548" s="115"/>
      <c r="H548" s="34">
        <f>IF(D548="Direct",PARAMETRES!$C$20,IF(D548="Centrale",PARAMETRES!$C$21,0))</f>
        <v>0</v>
      </c>
      <c r="I548" s="38">
        <f t="shared" si="2"/>
        <v>0</v>
      </c>
      <c r="J548" s="40" t="str">
        <f t="shared" si="3"/>
        <v/>
      </c>
      <c r="K548" s="40" t="str">
        <f t="shared" si="4"/>
        <v/>
      </c>
      <c r="L548" s="114"/>
    </row>
    <row r="549" ht="15.75" customHeight="1">
      <c r="A549" s="21"/>
      <c r="B549" s="23"/>
      <c r="C549" s="23"/>
      <c r="D549" s="30" t="str">
        <f>IF(C549&lt;&gt;"",VLOOKUP(C549,ENSEIGNES!$B$2:$D971,2,FALSE),"")</f>
        <v/>
      </c>
      <c r="E549" s="30" t="str">
        <f>IF(C549&lt;&gt;"",VLOOKUP(C549,ENSEIGNES!$B$2:$D971,3,FALSE),"")</f>
        <v/>
      </c>
      <c r="F549" s="31"/>
      <c r="G549" s="115"/>
      <c r="H549" s="34">
        <f>IF(D549="Direct",PARAMETRES!$C$20,IF(D549="Centrale",PARAMETRES!$C$21,0))</f>
        <v>0</v>
      </c>
      <c r="I549" s="38">
        <f t="shared" si="2"/>
        <v>0</v>
      </c>
      <c r="J549" s="40" t="str">
        <f t="shared" si="3"/>
        <v/>
      </c>
      <c r="K549" s="40" t="str">
        <f t="shared" si="4"/>
        <v/>
      </c>
      <c r="L549" s="114"/>
    </row>
    <row r="550" ht="15.75" customHeight="1">
      <c r="A550" s="21"/>
      <c r="B550" s="23"/>
      <c r="C550" s="23"/>
      <c r="D550" s="30" t="str">
        <f>IF(C550&lt;&gt;"",VLOOKUP(C550,ENSEIGNES!$B$2:$D971,2,FALSE),"")</f>
        <v/>
      </c>
      <c r="E550" s="30" t="str">
        <f>IF(C550&lt;&gt;"",VLOOKUP(C550,ENSEIGNES!$B$2:$D971,3,FALSE),"")</f>
        <v/>
      </c>
      <c r="F550" s="31"/>
      <c r="G550" s="115"/>
      <c r="H550" s="34">
        <f>IF(D550="Direct",PARAMETRES!$C$20,IF(D550="Centrale",PARAMETRES!$C$21,0))</f>
        <v>0</v>
      </c>
      <c r="I550" s="38">
        <f t="shared" si="2"/>
        <v>0</v>
      </c>
      <c r="J550" s="40" t="str">
        <f t="shared" si="3"/>
        <v/>
      </c>
      <c r="K550" s="40" t="str">
        <f t="shared" si="4"/>
        <v/>
      </c>
      <c r="L550" s="114"/>
    </row>
    <row r="551" ht="15.75" customHeight="1">
      <c r="A551" s="21"/>
      <c r="B551" s="23"/>
      <c r="C551" s="23"/>
      <c r="D551" s="30" t="str">
        <f>IF(C551&lt;&gt;"",VLOOKUP(C551,ENSEIGNES!$B$2:$D971,2,FALSE),"")</f>
        <v/>
      </c>
      <c r="E551" s="30" t="str">
        <f>IF(C551&lt;&gt;"",VLOOKUP(C551,ENSEIGNES!$B$2:$D971,3,FALSE),"")</f>
        <v/>
      </c>
      <c r="F551" s="31"/>
      <c r="G551" s="115"/>
      <c r="H551" s="34">
        <f>IF(D551="Direct",PARAMETRES!$C$20,IF(D551="Centrale",PARAMETRES!$C$21,0))</f>
        <v>0</v>
      </c>
      <c r="I551" s="38">
        <f t="shared" si="2"/>
        <v>0</v>
      </c>
      <c r="J551" s="40" t="str">
        <f t="shared" si="3"/>
        <v/>
      </c>
      <c r="K551" s="40" t="str">
        <f t="shared" si="4"/>
        <v/>
      </c>
      <c r="L551" s="114"/>
    </row>
    <row r="552" ht="15.75" customHeight="1">
      <c r="A552" s="21"/>
      <c r="B552" s="23"/>
      <c r="C552" s="23"/>
      <c r="D552" s="30" t="str">
        <f>IF(C552&lt;&gt;"",VLOOKUP(C552,ENSEIGNES!$B$2:$D971,2,FALSE),"")</f>
        <v/>
      </c>
      <c r="E552" s="30" t="str">
        <f>IF(C552&lt;&gt;"",VLOOKUP(C552,ENSEIGNES!$B$2:$D971,3,FALSE),"")</f>
        <v/>
      </c>
      <c r="F552" s="31"/>
      <c r="G552" s="115"/>
      <c r="H552" s="34">
        <f>IF(D552="Direct",PARAMETRES!$C$20,IF(D552="Centrale",PARAMETRES!$C$21,0))</f>
        <v>0</v>
      </c>
      <c r="I552" s="38">
        <f t="shared" si="2"/>
        <v>0</v>
      </c>
      <c r="J552" s="40" t="str">
        <f t="shared" si="3"/>
        <v/>
      </c>
      <c r="K552" s="40" t="str">
        <f t="shared" si="4"/>
        <v/>
      </c>
      <c r="L552" s="114"/>
    </row>
    <row r="553" ht="15.75" customHeight="1">
      <c r="A553" s="21"/>
      <c r="B553" s="23"/>
      <c r="C553" s="23"/>
      <c r="D553" s="30" t="str">
        <f>IF(C553&lt;&gt;"",VLOOKUP(C553,ENSEIGNES!$B$2:$D971,2,FALSE),"")</f>
        <v/>
      </c>
      <c r="E553" s="30" t="str">
        <f>IF(C553&lt;&gt;"",VLOOKUP(C553,ENSEIGNES!$B$2:$D971,3,FALSE),"")</f>
        <v/>
      </c>
      <c r="F553" s="31"/>
      <c r="G553" s="115"/>
      <c r="H553" s="34">
        <f>IF(D553="Direct",PARAMETRES!$C$20,IF(D553="Centrale",PARAMETRES!$C$21,0))</f>
        <v>0</v>
      </c>
      <c r="I553" s="38">
        <f t="shared" si="2"/>
        <v>0</v>
      </c>
      <c r="J553" s="40" t="str">
        <f t="shared" si="3"/>
        <v/>
      </c>
      <c r="K553" s="116"/>
      <c r="L553" s="114"/>
    </row>
    <row r="554" ht="15.75" customHeight="1">
      <c r="A554" s="21"/>
      <c r="B554" s="23"/>
      <c r="C554" s="23"/>
      <c r="D554" s="30" t="str">
        <f>IF(C554&lt;&gt;"",VLOOKUP(C554,ENSEIGNES!$B$2:$D971,2,FALSE),"")</f>
        <v/>
      </c>
      <c r="E554" s="30" t="str">
        <f>IF(C554&lt;&gt;"",VLOOKUP(C554,ENSEIGNES!$B$2:$D971,3,FALSE),"")</f>
        <v/>
      </c>
      <c r="F554" s="31"/>
      <c r="G554" s="115"/>
      <c r="H554" s="34">
        <f>IF(D554="Direct",PARAMETRES!$C$20,IF(D554="Centrale",PARAMETRES!$C$21,0))</f>
        <v>0</v>
      </c>
      <c r="I554" s="38">
        <f t="shared" si="2"/>
        <v>0</v>
      </c>
      <c r="J554" s="40" t="str">
        <f t="shared" si="3"/>
        <v/>
      </c>
      <c r="K554" s="116"/>
      <c r="L554" s="114"/>
    </row>
    <row r="555" ht="15.75" customHeight="1">
      <c r="A555" s="21"/>
      <c r="B555" s="23"/>
      <c r="C555" s="23"/>
      <c r="D555" s="30" t="str">
        <f>IF(C555&lt;&gt;"",VLOOKUP(C555,ENSEIGNES!$B$2:$D971,2,FALSE),"")</f>
        <v/>
      </c>
      <c r="E555" s="30" t="str">
        <f>IF(C555&lt;&gt;"",VLOOKUP(C555,ENSEIGNES!$B$2:$D971,3,FALSE),"")</f>
        <v/>
      </c>
      <c r="F555" s="31"/>
      <c r="G555" s="115"/>
      <c r="H555" s="34">
        <f>IF(D555="Direct",PARAMETRES!$C$20,IF(D555="Centrale",PARAMETRES!$C$21,0))</f>
        <v>0</v>
      </c>
      <c r="I555" s="38">
        <f t="shared" si="2"/>
        <v>0</v>
      </c>
      <c r="J555" s="40" t="str">
        <f t="shared" si="3"/>
        <v/>
      </c>
      <c r="K555" s="116"/>
      <c r="L555" s="114"/>
    </row>
    <row r="556" ht="15.75" customHeight="1">
      <c r="A556" s="21"/>
      <c r="B556" s="23"/>
      <c r="C556" s="23"/>
      <c r="D556" s="30" t="str">
        <f>IF(C556&lt;&gt;"",VLOOKUP(C556,ENSEIGNES!$B$2:$D971,2,FALSE),"")</f>
        <v/>
      </c>
      <c r="E556" s="30" t="str">
        <f>IF(C556&lt;&gt;"",VLOOKUP(C556,ENSEIGNES!$B$2:$D971,3,FALSE),"")</f>
        <v/>
      </c>
      <c r="F556" s="31"/>
      <c r="G556" s="115"/>
      <c r="H556" s="34">
        <f>IF(D556="Direct",PARAMETRES!$C$20,IF(D556="Centrale",PARAMETRES!$C$21,0))</f>
        <v>0</v>
      </c>
      <c r="I556" s="38">
        <f t="shared" si="2"/>
        <v>0</v>
      </c>
      <c r="J556" s="40" t="str">
        <f t="shared" si="3"/>
        <v/>
      </c>
      <c r="K556" s="116"/>
      <c r="L556" s="114"/>
    </row>
    <row r="557" ht="15.75" customHeight="1">
      <c r="A557" s="21"/>
      <c r="B557" s="23"/>
      <c r="C557" s="23"/>
      <c r="D557" s="30" t="str">
        <f>IF(C557&lt;&gt;"",VLOOKUP(C557,ENSEIGNES!$B$2:$D971,2,FALSE),"")</f>
        <v/>
      </c>
      <c r="E557" s="30" t="str">
        <f>IF(C557&lt;&gt;"",VLOOKUP(C557,ENSEIGNES!$B$2:$D971,3,FALSE),"")</f>
        <v/>
      </c>
      <c r="F557" s="31"/>
      <c r="G557" s="115"/>
      <c r="H557" s="34">
        <f>IF(D557="Direct",PARAMETRES!$C$20,IF(D557="Centrale",PARAMETRES!$C$21,0))</f>
        <v>0</v>
      </c>
      <c r="I557" s="38">
        <f t="shared" si="2"/>
        <v>0</v>
      </c>
      <c r="J557" s="40" t="str">
        <f t="shared" si="3"/>
        <v/>
      </c>
      <c r="K557" s="116"/>
      <c r="L557" s="114"/>
    </row>
    <row r="558" ht="15.75" customHeight="1">
      <c r="A558" s="21"/>
      <c r="B558" s="23"/>
      <c r="C558" s="23"/>
      <c r="D558" s="30" t="str">
        <f>IF(C558&lt;&gt;"",VLOOKUP(C558,ENSEIGNES!$B$2:$D971,2,FALSE),"")</f>
        <v/>
      </c>
      <c r="E558" s="30" t="str">
        <f>IF(C558&lt;&gt;"",VLOOKUP(C558,ENSEIGNES!$B$2:$D971,3,FALSE),"")</f>
        <v/>
      </c>
      <c r="F558" s="31"/>
      <c r="G558" s="115"/>
      <c r="H558" s="34">
        <f>IF(D558="Direct",PARAMETRES!$C$20,IF(D558="Centrale",PARAMETRES!$C$21,0))</f>
        <v>0</v>
      </c>
      <c r="I558" s="38">
        <f t="shared" si="2"/>
        <v>0</v>
      </c>
      <c r="J558" s="40" t="str">
        <f t="shared" si="3"/>
        <v/>
      </c>
      <c r="K558" s="116"/>
      <c r="L558" s="114"/>
    </row>
    <row r="559" ht="15.75" customHeight="1">
      <c r="A559" s="21"/>
      <c r="B559" s="23"/>
      <c r="C559" s="23"/>
      <c r="D559" s="30" t="str">
        <f>IF(C559&lt;&gt;"",VLOOKUP(C559,ENSEIGNES!$B$2:$D971,2,FALSE),"")</f>
        <v/>
      </c>
      <c r="E559" s="30" t="str">
        <f>IF(C559&lt;&gt;"",VLOOKUP(C559,ENSEIGNES!$B$2:$D971,3,FALSE),"")</f>
        <v/>
      </c>
      <c r="F559" s="31"/>
      <c r="G559" s="115"/>
      <c r="H559" s="34">
        <f>IF(D559="Direct",PARAMETRES!$C$20,IF(D559="Centrale",PARAMETRES!$C$21,0))</f>
        <v>0</v>
      </c>
      <c r="I559" s="38">
        <f t="shared" si="2"/>
        <v>0</v>
      </c>
      <c r="J559" s="40" t="str">
        <f t="shared" si="3"/>
        <v/>
      </c>
      <c r="K559" s="116"/>
      <c r="L559" s="114"/>
    </row>
    <row r="560" ht="15.75" customHeight="1">
      <c r="A560" s="21"/>
      <c r="B560" s="23"/>
      <c r="C560" s="23"/>
      <c r="D560" s="30" t="str">
        <f>IF(C560&lt;&gt;"",VLOOKUP(C560,ENSEIGNES!$B$2:$D971,2,FALSE),"")</f>
        <v/>
      </c>
      <c r="E560" s="30" t="str">
        <f>IF(C560&lt;&gt;"",VLOOKUP(C560,ENSEIGNES!$B$2:$D971,3,FALSE),"")</f>
        <v/>
      </c>
      <c r="F560" s="31"/>
      <c r="G560" s="115"/>
      <c r="H560" s="34">
        <f>IF(D560="Direct",PARAMETRES!$C$20,IF(D560="Centrale",PARAMETRES!$C$21,0))</f>
        <v>0</v>
      </c>
      <c r="I560" s="38">
        <f t="shared" si="2"/>
        <v>0</v>
      </c>
      <c r="J560" s="40" t="str">
        <f t="shared" si="3"/>
        <v/>
      </c>
      <c r="K560" s="116"/>
      <c r="L560" s="114"/>
    </row>
    <row r="561" ht="15.75" customHeight="1">
      <c r="A561" s="21"/>
      <c r="B561" s="23"/>
      <c r="C561" s="23"/>
      <c r="D561" s="30" t="str">
        <f>IF(C561&lt;&gt;"",VLOOKUP(C561,ENSEIGNES!$B$2:$D971,2,FALSE),"")</f>
        <v/>
      </c>
      <c r="E561" s="30" t="str">
        <f>IF(C561&lt;&gt;"",VLOOKUP(C561,ENSEIGNES!$B$2:$D971,3,FALSE),"")</f>
        <v/>
      </c>
      <c r="F561" s="31"/>
      <c r="G561" s="115"/>
      <c r="H561" s="34">
        <f>IF(D561="Direct",PARAMETRES!$C$20,IF(D561="Centrale",PARAMETRES!$C$21,0))</f>
        <v>0</v>
      </c>
      <c r="I561" s="38">
        <f t="shared" si="2"/>
        <v>0</v>
      </c>
      <c r="J561" s="40" t="str">
        <f t="shared" si="3"/>
        <v/>
      </c>
      <c r="K561" s="116"/>
      <c r="L561" s="114"/>
    </row>
    <row r="562" ht="15.75" customHeight="1">
      <c r="A562" s="21"/>
      <c r="B562" s="23"/>
      <c r="C562" s="23"/>
      <c r="D562" s="30" t="str">
        <f>IF(C562&lt;&gt;"",VLOOKUP(C562,ENSEIGNES!$B$2:$D971,2,FALSE),"")</f>
        <v/>
      </c>
      <c r="E562" s="30" t="str">
        <f>IF(C562&lt;&gt;"",VLOOKUP(C562,ENSEIGNES!$B$2:$D971,3,FALSE),"")</f>
        <v/>
      </c>
      <c r="F562" s="31"/>
      <c r="G562" s="115"/>
      <c r="H562" s="34">
        <f>IF(D562="Direct",PARAMETRES!$C$20,IF(D562="Centrale",PARAMETRES!$C$21,0))</f>
        <v>0</v>
      </c>
      <c r="I562" s="38">
        <f t="shared" si="2"/>
        <v>0</v>
      </c>
      <c r="J562" s="40" t="str">
        <f t="shared" si="3"/>
        <v/>
      </c>
      <c r="K562" s="116"/>
      <c r="L562" s="114"/>
    </row>
    <row r="563" ht="15.75" customHeight="1">
      <c r="A563" s="21"/>
      <c r="B563" s="23"/>
      <c r="C563" s="23"/>
      <c r="D563" s="30" t="str">
        <f>IF(C563&lt;&gt;"",VLOOKUP(C563,ENSEIGNES!$B$2:$D971,2,FALSE),"")</f>
        <v/>
      </c>
      <c r="E563" s="30" t="str">
        <f>IF(C563&lt;&gt;"",VLOOKUP(C563,ENSEIGNES!$B$2:$D971,3,FALSE),"")</f>
        <v/>
      </c>
      <c r="F563" s="31"/>
      <c r="G563" s="115"/>
      <c r="H563" s="34">
        <f>IF(D563="Direct",PARAMETRES!$C$20,IF(D563="Centrale",PARAMETRES!$C$21,0))</f>
        <v>0</v>
      </c>
      <c r="I563" s="38">
        <f t="shared" si="2"/>
        <v>0</v>
      </c>
      <c r="J563" s="40" t="str">
        <f t="shared" si="3"/>
        <v/>
      </c>
      <c r="K563" s="116"/>
      <c r="L563" s="114"/>
    </row>
    <row r="564" ht="15.75" customHeight="1">
      <c r="A564" s="21"/>
      <c r="B564" s="23"/>
      <c r="C564" s="23"/>
      <c r="D564" s="30" t="str">
        <f>IF(C564&lt;&gt;"",VLOOKUP(C564,ENSEIGNES!$B$2:$D971,2,FALSE),"")</f>
        <v/>
      </c>
      <c r="E564" s="30" t="str">
        <f>IF(C564&lt;&gt;"",VLOOKUP(C564,ENSEIGNES!$B$2:$D971,3,FALSE),"")</f>
        <v/>
      </c>
      <c r="F564" s="31"/>
      <c r="G564" s="115"/>
      <c r="H564" s="34">
        <f>IF(D564="Direct",PARAMETRES!$C$20,IF(D564="Centrale",PARAMETRES!$C$21,0))</f>
        <v>0</v>
      </c>
      <c r="I564" s="38">
        <f t="shared" si="2"/>
        <v>0</v>
      </c>
      <c r="J564" s="40" t="str">
        <f t="shared" si="3"/>
        <v/>
      </c>
      <c r="K564" s="116"/>
      <c r="L564" s="114"/>
    </row>
    <row r="565" ht="15.75" customHeight="1">
      <c r="A565" s="21"/>
      <c r="B565" s="23"/>
      <c r="C565" s="23"/>
      <c r="D565" s="30" t="str">
        <f>IF(C565&lt;&gt;"",VLOOKUP(C565,ENSEIGNES!$B$2:$D971,2,FALSE),"")</f>
        <v/>
      </c>
      <c r="E565" s="30" t="str">
        <f>IF(C565&lt;&gt;"",VLOOKUP(C565,ENSEIGNES!$B$2:$D971,3,FALSE),"")</f>
        <v/>
      </c>
      <c r="F565" s="31"/>
      <c r="G565" s="115"/>
      <c r="H565" s="34">
        <f>IF(D565="Direct",PARAMETRES!$C$20,IF(D565="Centrale",PARAMETRES!$C$21,0))</f>
        <v>0</v>
      </c>
      <c r="I565" s="38">
        <f t="shared" si="2"/>
        <v>0</v>
      </c>
      <c r="J565" s="40" t="str">
        <f t="shared" si="3"/>
        <v/>
      </c>
      <c r="K565" s="116"/>
      <c r="L565" s="114"/>
    </row>
    <row r="566" ht="15.75" customHeight="1">
      <c r="A566" s="21"/>
      <c r="B566" s="23"/>
      <c r="C566" s="23"/>
      <c r="D566" s="30" t="str">
        <f>IF(C566&lt;&gt;"",VLOOKUP(C566,ENSEIGNES!$B$2:$D971,2,FALSE),"")</f>
        <v/>
      </c>
      <c r="E566" s="30" t="str">
        <f>IF(C566&lt;&gt;"",VLOOKUP(C566,ENSEIGNES!$B$2:$D971,3,FALSE),"")</f>
        <v/>
      </c>
      <c r="F566" s="31"/>
      <c r="G566" s="115"/>
      <c r="H566" s="34">
        <f>IF(D566="Direct",PARAMETRES!$C$20,IF(D566="Centrale",PARAMETRES!$C$21,0))</f>
        <v>0</v>
      </c>
      <c r="I566" s="38">
        <f t="shared" si="2"/>
        <v>0</v>
      </c>
      <c r="J566" s="40" t="str">
        <f t="shared" si="3"/>
        <v/>
      </c>
      <c r="K566" s="116"/>
      <c r="L566" s="114"/>
    </row>
    <row r="567" ht="15.75" customHeight="1">
      <c r="A567" s="21"/>
      <c r="B567" s="23"/>
      <c r="C567" s="23"/>
      <c r="D567" s="30" t="str">
        <f>IF(C567&lt;&gt;"",VLOOKUP(C567,ENSEIGNES!$B$2:$D971,2,FALSE),"")</f>
        <v/>
      </c>
      <c r="E567" s="30" t="str">
        <f>IF(C567&lt;&gt;"",VLOOKUP(C567,ENSEIGNES!$B$2:$D971,3,FALSE),"")</f>
        <v/>
      </c>
      <c r="F567" s="31"/>
      <c r="G567" s="115"/>
      <c r="H567" s="34">
        <f>IF(D567="Direct",PARAMETRES!$C$20,IF(D567="Centrale",PARAMETRES!$C$21,0))</f>
        <v>0</v>
      </c>
      <c r="I567" s="38">
        <f t="shared" si="2"/>
        <v>0</v>
      </c>
      <c r="J567" s="40" t="str">
        <f t="shared" si="3"/>
        <v/>
      </c>
      <c r="K567" s="116"/>
      <c r="L567" s="114"/>
    </row>
    <row r="568" ht="15.75" customHeight="1">
      <c r="A568" s="21"/>
      <c r="B568" s="23"/>
      <c r="C568" s="23"/>
      <c r="D568" s="30" t="str">
        <f>IF(C568&lt;&gt;"",VLOOKUP(C568,ENSEIGNES!$B$2:$D971,2,FALSE),"")</f>
        <v/>
      </c>
      <c r="E568" s="30" t="str">
        <f>IF(C568&lt;&gt;"",VLOOKUP(C568,ENSEIGNES!$B$2:$D971,3,FALSE),"")</f>
        <v/>
      </c>
      <c r="F568" s="31"/>
      <c r="G568" s="115"/>
      <c r="H568" s="34">
        <f>IF(D568="Direct",PARAMETRES!$C$20,IF(D568="Centrale",PARAMETRES!$C$21,0))</f>
        <v>0</v>
      </c>
      <c r="I568" s="38">
        <f t="shared" si="2"/>
        <v>0</v>
      </c>
      <c r="J568" s="40" t="str">
        <f t="shared" si="3"/>
        <v/>
      </c>
      <c r="K568" s="116"/>
      <c r="L568" s="114"/>
    </row>
    <row r="569" ht="15.75" customHeight="1">
      <c r="A569" s="21"/>
      <c r="B569" s="23"/>
      <c r="C569" s="23"/>
      <c r="D569" s="30" t="str">
        <f>IF(C569&lt;&gt;"",VLOOKUP(C569,ENSEIGNES!$B$2:$D971,2,FALSE),"")</f>
        <v/>
      </c>
      <c r="E569" s="30" t="str">
        <f>IF(C569&lt;&gt;"",VLOOKUP(C569,ENSEIGNES!$B$2:$D971,3,FALSE),"")</f>
        <v/>
      </c>
      <c r="F569" s="31"/>
      <c r="G569" s="115"/>
      <c r="H569" s="34">
        <f>IF(D569="Direct",PARAMETRES!$C$20,IF(D569="Centrale",PARAMETRES!$C$21,0))</f>
        <v>0</v>
      </c>
      <c r="I569" s="38">
        <f t="shared" si="2"/>
        <v>0</v>
      </c>
      <c r="J569" s="40" t="str">
        <f t="shared" si="3"/>
        <v/>
      </c>
      <c r="K569" s="116"/>
      <c r="L569" s="114"/>
    </row>
    <row r="570" ht="15.75" customHeight="1">
      <c r="A570" s="21"/>
      <c r="B570" s="23"/>
      <c r="C570" s="23"/>
      <c r="D570" s="30" t="str">
        <f>IF(C570&lt;&gt;"",VLOOKUP(C570,ENSEIGNES!$B$2:$D971,2,FALSE),"")</f>
        <v/>
      </c>
      <c r="E570" s="30" t="str">
        <f>IF(C570&lt;&gt;"",VLOOKUP(C570,ENSEIGNES!$B$2:$D971,3,FALSE),"")</f>
        <v/>
      </c>
      <c r="F570" s="31"/>
      <c r="G570" s="115"/>
      <c r="H570" s="34">
        <f>IF(D570="Direct",PARAMETRES!$C$20,IF(D570="Centrale",PARAMETRES!$C$21,0))</f>
        <v>0</v>
      </c>
      <c r="I570" s="38">
        <f t="shared" si="2"/>
        <v>0</v>
      </c>
      <c r="J570" s="40" t="str">
        <f t="shared" si="3"/>
        <v/>
      </c>
      <c r="K570" s="116"/>
      <c r="L570" s="114"/>
    </row>
    <row r="571" ht="15.75" customHeight="1">
      <c r="A571" s="21"/>
      <c r="B571" s="23"/>
      <c r="C571" s="23"/>
      <c r="D571" s="30" t="str">
        <f>IF(C571&lt;&gt;"",VLOOKUP(C571,ENSEIGNES!$B$2:$D971,2,FALSE),"")</f>
        <v/>
      </c>
      <c r="E571" s="30" t="str">
        <f>IF(C571&lt;&gt;"",VLOOKUP(C571,ENSEIGNES!$B$2:$D971,3,FALSE),"")</f>
        <v/>
      </c>
      <c r="F571" s="31"/>
      <c r="G571" s="115"/>
      <c r="H571" s="34">
        <f>IF(D571="Direct",PARAMETRES!$C$20,IF(D571="Centrale",PARAMETRES!$C$21,0))</f>
        <v>0</v>
      </c>
      <c r="I571" s="38">
        <f t="shared" si="2"/>
        <v>0</v>
      </c>
      <c r="J571" s="40" t="str">
        <f t="shared" si="3"/>
        <v/>
      </c>
      <c r="K571" s="116"/>
      <c r="L571" s="114"/>
    </row>
    <row r="572" ht="15.75" customHeight="1">
      <c r="A572" s="21"/>
      <c r="B572" s="23"/>
      <c r="C572" s="23"/>
      <c r="D572" s="30" t="str">
        <f>IF(C572&lt;&gt;"",VLOOKUP(C572,ENSEIGNES!$B$2:$D971,2,FALSE),"")</f>
        <v/>
      </c>
      <c r="E572" s="30" t="str">
        <f>IF(C572&lt;&gt;"",VLOOKUP(C572,ENSEIGNES!$B$2:$D971,3,FALSE),"")</f>
        <v/>
      </c>
      <c r="F572" s="31"/>
      <c r="G572" s="115"/>
      <c r="H572" s="34">
        <f>IF(D572="Direct",PARAMETRES!$C$20,IF(D572="Centrale",PARAMETRES!$C$21,0))</f>
        <v>0</v>
      </c>
      <c r="I572" s="38">
        <f t="shared" si="2"/>
        <v>0</v>
      </c>
      <c r="J572" s="40" t="str">
        <f t="shared" si="3"/>
        <v/>
      </c>
      <c r="K572" s="116"/>
      <c r="L572" s="114"/>
    </row>
    <row r="573" ht="15.75" customHeight="1">
      <c r="A573" s="21"/>
      <c r="B573" s="23"/>
      <c r="C573" s="23"/>
      <c r="D573" s="30" t="str">
        <f>IF(C573&lt;&gt;"",VLOOKUP(C573,ENSEIGNES!$B$2:$D971,2,FALSE),"")</f>
        <v/>
      </c>
      <c r="E573" s="30" t="str">
        <f>IF(C573&lt;&gt;"",VLOOKUP(C573,ENSEIGNES!$B$2:$D971,3,FALSE),"")</f>
        <v/>
      </c>
      <c r="F573" s="31"/>
      <c r="G573" s="115"/>
      <c r="H573" s="34">
        <f>IF(D573="Direct",PARAMETRES!$C$20,IF(D573="Centrale",PARAMETRES!$C$21,0))</f>
        <v>0</v>
      </c>
      <c r="I573" s="38">
        <f t="shared" si="2"/>
        <v>0</v>
      </c>
      <c r="J573" s="40" t="str">
        <f t="shared" si="3"/>
        <v/>
      </c>
      <c r="K573" s="116"/>
      <c r="L573" s="114"/>
    </row>
    <row r="574" ht="15.75" customHeight="1">
      <c r="A574" s="21"/>
      <c r="B574" s="23"/>
      <c r="C574" s="23"/>
      <c r="D574" s="30" t="str">
        <f>IF(C574&lt;&gt;"",VLOOKUP(C574,ENSEIGNES!$B$2:$D971,2,FALSE),"")</f>
        <v/>
      </c>
      <c r="E574" s="30" t="str">
        <f>IF(C574&lt;&gt;"",VLOOKUP(C574,ENSEIGNES!$B$2:$D971,3,FALSE),"")</f>
        <v/>
      </c>
      <c r="F574" s="31"/>
      <c r="G574" s="115"/>
      <c r="H574" s="34">
        <f>IF(D574="Direct",PARAMETRES!$C$20,IF(D574="Centrale",PARAMETRES!$C$21,0))</f>
        <v>0</v>
      </c>
      <c r="I574" s="38">
        <f t="shared" si="2"/>
        <v>0</v>
      </c>
      <c r="J574" s="40" t="str">
        <f t="shared" si="3"/>
        <v/>
      </c>
      <c r="K574" s="116"/>
      <c r="L574" s="114"/>
    </row>
    <row r="575" ht="15.75" customHeight="1">
      <c r="A575" s="21"/>
      <c r="B575" s="23"/>
      <c r="C575" s="23"/>
      <c r="D575" s="30" t="str">
        <f>IF(C575&lt;&gt;"",VLOOKUP(C575,ENSEIGNES!$B$2:$D971,2,FALSE),"")</f>
        <v/>
      </c>
      <c r="E575" s="30" t="str">
        <f>IF(C575&lt;&gt;"",VLOOKUP(C575,ENSEIGNES!$B$2:$D971,3,FALSE),"")</f>
        <v/>
      </c>
      <c r="F575" s="31"/>
      <c r="G575" s="115"/>
      <c r="H575" s="34">
        <f>IF(D575="Direct",PARAMETRES!$C$20,IF(D575="Centrale",PARAMETRES!$C$21,0))</f>
        <v>0</v>
      </c>
      <c r="I575" s="38">
        <f t="shared" si="2"/>
        <v>0</v>
      </c>
      <c r="J575" s="40" t="str">
        <f t="shared" si="3"/>
        <v/>
      </c>
      <c r="K575" s="116"/>
      <c r="L575" s="114"/>
    </row>
    <row r="576" ht="15.75" customHeight="1">
      <c r="A576" s="21"/>
      <c r="B576" s="23"/>
      <c r="C576" s="23"/>
      <c r="D576" s="30" t="str">
        <f>IF(C576&lt;&gt;"",VLOOKUP(C576,ENSEIGNES!$B$2:$D971,2,FALSE),"")</f>
        <v/>
      </c>
      <c r="E576" s="30" t="str">
        <f>IF(C576&lt;&gt;"",VLOOKUP(C576,ENSEIGNES!$B$2:$D971,3,FALSE),"")</f>
        <v/>
      </c>
      <c r="F576" s="31"/>
      <c r="G576" s="115"/>
      <c r="H576" s="34">
        <f>IF(D576="Direct",PARAMETRES!$C$20,IF(D576="Centrale",PARAMETRES!$C$21,0))</f>
        <v>0</v>
      </c>
      <c r="I576" s="38">
        <f t="shared" si="2"/>
        <v>0</v>
      </c>
      <c r="J576" s="40" t="str">
        <f t="shared" si="3"/>
        <v/>
      </c>
      <c r="K576" s="116"/>
      <c r="L576" s="114"/>
    </row>
    <row r="577" ht="15.75" customHeight="1">
      <c r="A577" s="21"/>
      <c r="B577" s="23"/>
      <c r="C577" s="23"/>
      <c r="D577" s="30" t="str">
        <f>IF(C577&lt;&gt;"",VLOOKUP(C577,ENSEIGNES!$B$2:$D971,2,FALSE),"")</f>
        <v/>
      </c>
      <c r="E577" s="30" t="str">
        <f>IF(C577&lt;&gt;"",VLOOKUP(C577,ENSEIGNES!$B$2:$D971,3,FALSE),"")</f>
        <v/>
      </c>
      <c r="F577" s="31"/>
      <c r="G577" s="115"/>
      <c r="H577" s="34">
        <f>IF(D577="Direct",PARAMETRES!$C$20,IF(D577="Centrale",PARAMETRES!$C$21,0))</f>
        <v>0</v>
      </c>
      <c r="I577" s="38">
        <f t="shared" si="2"/>
        <v>0</v>
      </c>
      <c r="J577" s="40" t="str">
        <f t="shared" si="3"/>
        <v/>
      </c>
      <c r="K577" s="116"/>
      <c r="L577" s="114"/>
    </row>
    <row r="578" ht="15.75" customHeight="1">
      <c r="A578" s="21"/>
      <c r="B578" s="23"/>
      <c r="C578" s="23"/>
      <c r="D578" s="30" t="str">
        <f>IF(C578&lt;&gt;"",VLOOKUP(C578,ENSEIGNES!$B$2:$D971,2,FALSE),"")</f>
        <v/>
      </c>
      <c r="E578" s="30" t="str">
        <f>IF(C578&lt;&gt;"",VLOOKUP(C578,ENSEIGNES!$B$2:$D971,3,FALSE),"")</f>
        <v/>
      </c>
      <c r="F578" s="31"/>
      <c r="G578" s="115"/>
      <c r="H578" s="34">
        <f>IF(D578="Direct",PARAMETRES!$C$20,IF(D578="Centrale",PARAMETRES!$C$21,0))</f>
        <v>0</v>
      </c>
      <c r="I578" s="38">
        <f t="shared" si="2"/>
        <v>0</v>
      </c>
      <c r="J578" s="116"/>
      <c r="K578" s="116"/>
      <c r="L578" s="114"/>
    </row>
    <row r="579" ht="15.75" customHeight="1">
      <c r="A579" s="21"/>
      <c r="B579" s="23"/>
      <c r="C579" s="23"/>
      <c r="D579" s="30" t="str">
        <f>IF(C579&lt;&gt;"",VLOOKUP(C579,ENSEIGNES!$B$2:$D971,2,FALSE),"")</f>
        <v/>
      </c>
      <c r="E579" s="30" t="str">
        <f>IF(C579&lt;&gt;"",VLOOKUP(C579,ENSEIGNES!$B$2:$D971,3,FALSE),"")</f>
        <v/>
      </c>
      <c r="F579" s="31"/>
      <c r="G579" s="115"/>
      <c r="H579" s="34">
        <f>IF(D579="Direct",PARAMETRES!$C$20,IF(D579="Centrale",PARAMETRES!$C$21,0))</f>
        <v>0</v>
      </c>
      <c r="I579" s="38">
        <f t="shared" si="2"/>
        <v>0</v>
      </c>
      <c r="J579" s="116"/>
      <c r="K579" s="116"/>
      <c r="L579" s="114"/>
    </row>
    <row r="580" ht="15.75" customHeight="1">
      <c r="A580" s="21"/>
      <c r="B580" s="23"/>
      <c r="C580" s="23"/>
      <c r="D580" s="30" t="str">
        <f>IF(C580&lt;&gt;"",VLOOKUP(C580,ENSEIGNES!$B$2:$D971,2,FALSE),"")</f>
        <v/>
      </c>
      <c r="E580" s="30" t="str">
        <f>IF(C580&lt;&gt;"",VLOOKUP(C580,ENSEIGNES!$B$2:$D971,3,FALSE),"")</f>
        <v/>
      </c>
      <c r="F580" s="31"/>
      <c r="G580" s="115"/>
      <c r="H580" s="34">
        <f>IF(D580="Direct",PARAMETRES!$C$20,IF(D580="Centrale",PARAMETRES!$C$21,0))</f>
        <v>0</v>
      </c>
      <c r="I580" s="38">
        <f t="shared" si="2"/>
        <v>0</v>
      </c>
      <c r="J580" s="116"/>
      <c r="K580" s="116"/>
      <c r="L580" s="114"/>
    </row>
    <row r="581" ht="15.75" customHeight="1">
      <c r="A581" s="21"/>
      <c r="B581" s="23"/>
      <c r="C581" s="23"/>
      <c r="D581" s="30" t="str">
        <f>IF(C581&lt;&gt;"",VLOOKUP(C581,ENSEIGNES!$B$2:$D971,2,FALSE),"")</f>
        <v/>
      </c>
      <c r="E581" s="30" t="str">
        <f>IF(C581&lt;&gt;"",VLOOKUP(C581,ENSEIGNES!$B$2:$D971,3,FALSE),"")</f>
        <v/>
      </c>
      <c r="F581" s="31"/>
      <c r="G581" s="115"/>
      <c r="H581" s="34">
        <f>IF(D581="Direct",PARAMETRES!$C$20,IF(D581="Centrale",PARAMETRES!$C$21,0))</f>
        <v>0</v>
      </c>
      <c r="I581" s="38">
        <f t="shared" si="2"/>
        <v>0</v>
      </c>
      <c r="J581" s="116"/>
      <c r="K581" s="116"/>
      <c r="L581" s="114"/>
    </row>
    <row r="582" ht="15.75" customHeight="1">
      <c r="A582" s="21"/>
      <c r="B582" s="23"/>
      <c r="C582" s="23"/>
      <c r="D582" s="30" t="str">
        <f>IF(C582&lt;&gt;"",VLOOKUP(C582,ENSEIGNES!$B$2:$D971,2,FALSE),"")</f>
        <v/>
      </c>
      <c r="E582" s="30" t="str">
        <f>IF(C582&lt;&gt;"",VLOOKUP(C582,ENSEIGNES!$B$2:$D971,3,FALSE),"")</f>
        <v/>
      </c>
      <c r="F582" s="31"/>
      <c r="G582" s="115"/>
      <c r="H582" s="34">
        <f>IF(D582="Direct",PARAMETRES!$C$20,IF(D582="Centrale",PARAMETRES!$C$21,0))</f>
        <v>0</v>
      </c>
      <c r="I582" s="38">
        <f t="shared" si="2"/>
        <v>0</v>
      </c>
      <c r="J582" s="116"/>
      <c r="K582" s="116"/>
      <c r="L582" s="114"/>
    </row>
    <row r="583" ht="15.75" customHeight="1">
      <c r="C583" s="23"/>
      <c r="D583" s="30" t="str">
        <f>IF(C583&lt;&gt;"",VLOOKUP(C583,ENSEIGNES!$B$2:$D971,2,FALSE),"")</f>
        <v/>
      </c>
      <c r="E583" s="30" t="str">
        <f>IF(C583&lt;&gt;"",VLOOKUP(C583,ENSEIGNES!$B$2:$D971,3,FALSE),"")</f>
        <v/>
      </c>
      <c r="F583" s="31"/>
      <c r="G583" s="115"/>
      <c r="H583" s="34">
        <f>IF(D583="Direct",PARAMETRES!$C$20,IF(D583="Centrale",PARAMETRES!$C$21,0))</f>
        <v>0</v>
      </c>
      <c r="I583" s="38">
        <f t="shared" si="2"/>
        <v>0</v>
      </c>
      <c r="J583" s="116"/>
      <c r="K583" s="116"/>
      <c r="L583" s="114"/>
    </row>
    <row r="584" ht="15.75" customHeight="1">
      <c r="C584" s="23"/>
      <c r="D584" s="30" t="str">
        <f>IF(C584&lt;&gt;"",VLOOKUP(C584,ENSEIGNES!$B$2:$D971,2,FALSE),"")</f>
        <v/>
      </c>
      <c r="E584" s="30" t="str">
        <f>IF(C584&lt;&gt;"",VLOOKUP(C584,ENSEIGNES!$B$2:$D971,3,FALSE),"")</f>
        <v/>
      </c>
      <c r="F584" s="31"/>
      <c r="G584" s="115"/>
      <c r="H584" s="34">
        <f>IF(D584="Direct",PARAMETRES!$C$20,IF(D584="Centrale",PARAMETRES!$C$21,0))</f>
        <v>0</v>
      </c>
      <c r="I584" s="38">
        <f t="shared" si="2"/>
        <v>0</v>
      </c>
      <c r="J584" s="116"/>
      <c r="K584" s="116"/>
      <c r="L584" s="114"/>
    </row>
    <row r="585" ht="15.75" customHeight="1">
      <c r="C585" s="23"/>
      <c r="D585" s="30" t="str">
        <f>IF(C585&lt;&gt;"",VLOOKUP(C585,ENSEIGNES!$B$2:$D971,2,FALSE),"")</f>
        <v/>
      </c>
      <c r="E585" s="30" t="str">
        <f>IF(C585&lt;&gt;"",VLOOKUP(C585,ENSEIGNES!$B$2:$D971,3,FALSE),"")</f>
        <v/>
      </c>
      <c r="F585" s="31"/>
      <c r="G585" s="115"/>
      <c r="H585" s="34">
        <f>IF(D585="Direct",PARAMETRES!$C$20,IF(D585="Centrale",PARAMETRES!$C$21,0))</f>
        <v>0</v>
      </c>
      <c r="I585" s="38">
        <f t="shared" si="2"/>
        <v>0</v>
      </c>
      <c r="J585" s="116"/>
      <c r="K585" s="116"/>
      <c r="L585" s="114"/>
    </row>
    <row r="586" ht="15.75" customHeight="1">
      <c r="C586" s="23"/>
      <c r="D586" s="30" t="str">
        <f>IF(C586&lt;&gt;"",VLOOKUP(C586,ENSEIGNES!$B$2:$D971,2,FALSE),"")</f>
        <v/>
      </c>
      <c r="E586" s="30" t="str">
        <f>IF(C586&lt;&gt;"",VLOOKUP(C586,ENSEIGNES!$B$2:$D971,3,FALSE),"")</f>
        <v/>
      </c>
      <c r="F586" s="31"/>
      <c r="G586" s="115"/>
      <c r="H586" s="34">
        <f>IF(D586="Direct",PARAMETRES!$C$20,IF(D586="Centrale",PARAMETRES!$C$21,0))</f>
        <v>0</v>
      </c>
      <c r="I586" s="38">
        <f t="shared" si="2"/>
        <v>0</v>
      </c>
      <c r="J586" s="116"/>
      <c r="K586" s="116"/>
      <c r="L586" s="114"/>
    </row>
    <row r="587" ht="15.75" customHeight="1">
      <c r="C587" s="23"/>
      <c r="D587" s="30" t="str">
        <f>IF(C587&lt;&gt;"",VLOOKUP(C587,ENSEIGNES!$B$2:$D971,2,FALSE),"")</f>
        <v/>
      </c>
      <c r="E587" s="30" t="str">
        <f>IF(C587&lt;&gt;"",VLOOKUP(C587,ENSEIGNES!$B$2:$D971,3,FALSE),"")</f>
        <v/>
      </c>
      <c r="F587" s="31"/>
      <c r="G587" s="115"/>
      <c r="H587" s="34">
        <f>IF(D587="Direct",PARAMETRES!$C$20,IF(D587="Centrale",PARAMETRES!$C$21,0))</f>
        <v>0</v>
      </c>
      <c r="I587" s="38">
        <f t="shared" si="2"/>
        <v>0</v>
      </c>
      <c r="J587" s="116"/>
      <c r="K587" s="116"/>
      <c r="L587" s="114"/>
    </row>
    <row r="588" ht="15.75" customHeight="1">
      <c r="C588" s="23"/>
      <c r="D588" s="30" t="str">
        <f>IF(C588&lt;&gt;"",VLOOKUP(C588,ENSEIGNES!$B$2:$D971,2,FALSE),"")</f>
        <v/>
      </c>
      <c r="E588" s="30" t="str">
        <f>IF(C588&lt;&gt;"",VLOOKUP(C588,ENSEIGNES!$B$2:$D971,3,FALSE),"")</f>
        <v/>
      </c>
      <c r="F588" s="31"/>
      <c r="G588" s="115"/>
      <c r="H588" s="34">
        <f>IF(D588="Direct",PARAMETRES!$C$20,IF(D588="Centrale",PARAMETRES!$C$21,0))</f>
        <v>0</v>
      </c>
      <c r="I588" s="38">
        <f t="shared" si="2"/>
        <v>0</v>
      </c>
      <c r="J588" s="116"/>
      <c r="K588" s="116"/>
      <c r="L588" s="114"/>
    </row>
    <row r="589" ht="15.75" customHeight="1">
      <c r="C589" s="23"/>
      <c r="D589" s="30" t="str">
        <f>IF(C589&lt;&gt;"",VLOOKUP(C589,ENSEIGNES!$B$2:$D971,2,FALSE),"")</f>
        <v/>
      </c>
      <c r="E589" s="30" t="str">
        <f>IF(C589&lt;&gt;"",VLOOKUP(C589,ENSEIGNES!$B$2:$D971,3,FALSE),"")</f>
        <v/>
      </c>
      <c r="F589" s="31"/>
      <c r="G589" s="115"/>
      <c r="H589" s="34">
        <f>IF(D589="Direct",PARAMETRES!$C$20,IF(D589="Centrale",PARAMETRES!$C$21,0))</f>
        <v>0</v>
      </c>
      <c r="I589" s="38">
        <f t="shared" si="2"/>
        <v>0</v>
      </c>
      <c r="J589" s="116"/>
      <c r="K589" s="116"/>
      <c r="L589" s="114"/>
    </row>
    <row r="590" ht="15.75" customHeight="1">
      <c r="C590" s="23"/>
      <c r="D590" s="30" t="str">
        <f>IF(C590&lt;&gt;"",VLOOKUP(C590,ENSEIGNES!$B$2:$D971,2,FALSE),"")</f>
        <v/>
      </c>
      <c r="E590" s="30" t="str">
        <f>IF(C590&lt;&gt;"",VLOOKUP(C590,ENSEIGNES!$B$2:$D971,3,FALSE),"")</f>
        <v/>
      </c>
      <c r="F590" s="31"/>
      <c r="G590" s="115"/>
      <c r="H590" s="34">
        <f>IF(D590="Direct",PARAMETRES!$C$20,IF(D590="Centrale",PARAMETRES!$C$21,0))</f>
        <v>0</v>
      </c>
      <c r="I590" s="38">
        <f t="shared" si="2"/>
        <v>0</v>
      </c>
      <c r="J590" s="116"/>
      <c r="K590" s="116"/>
      <c r="L590" s="114"/>
    </row>
    <row r="591" ht="15.75" customHeight="1">
      <c r="C591" s="23"/>
      <c r="D591" s="30" t="str">
        <f>IF(C591&lt;&gt;"",VLOOKUP(C591,ENSEIGNES!$B$2:$D971,2,FALSE),"")</f>
        <v/>
      </c>
      <c r="E591" s="30" t="str">
        <f>IF(C591&lt;&gt;"",VLOOKUP(C591,ENSEIGNES!$B$2:$D971,3,FALSE),"")</f>
        <v/>
      </c>
      <c r="F591" s="31"/>
      <c r="G591" s="115"/>
      <c r="H591" s="34">
        <f>IF(D591="Direct",PARAMETRES!$C$20,IF(D591="Centrale",PARAMETRES!$C$21,0))</f>
        <v>0</v>
      </c>
      <c r="I591" s="38">
        <f t="shared" si="2"/>
        <v>0</v>
      </c>
      <c r="J591" s="116"/>
      <c r="K591" s="116"/>
      <c r="L591" s="114"/>
    </row>
    <row r="592" ht="15.75" customHeight="1">
      <c r="C592" s="23"/>
      <c r="D592" s="30" t="str">
        <f>IF(C592&lt;&gt;"",VLOOKUP(C592,ENSEIGNES!$B$2:$D971,2,FALSE),"")</f>
        <v/>
      </c>
      <c r="E592" s="30" t="str">
        <f>IF(C592&lt;&gt;"",VLOOKUP(C592,ENSEIGNES!$B$2:$D971,3,FALSE),"")</f>
        <v/>
      </c>
      <c r="F592" s="31"/>
      <c r="G592" s="115"/>
      <c r="H592" s="34">
        <f>IF(D592="Direct",PARAMETRES!$C$20,IF(D592="Centrale",PARAMETRES!$C$21,0))</f>
        <v>0</v>
      </c>
      <c r="I592" s="38">
        <f t="shared" si="2"/>
        <v>0</v>
      </c>
      <c r="J592" s="116"/>
      <c r="K592" s="116"/>
      <c r="L592" s="114"/>
    </row>
    <row r="593" ht="15.75" customHeight="1">
      <c r="C593" s="23"/>
      <c r="D593" s="30" t="str">
        <f>IF(C593&lt;&gt;"",VLOOKUP(C593,ENSEIGNES!$B$2:$D971,2,FALSE),"")</f>
        <v/>
      </c>
      <c r="E593" s="30" t="str">
        <f>IF(C593&lt;&gt;"",VLOOKUP(C593,ENSEIGNES!$B$2:$D971,3,FALSE),"")</f>
        <v/>
      </c>
      <c r="F593" s="31"/>
      <c r="G593" s="115"/>
      <c r="H593" s="34">
        <f>IF(D593="Direct",PARAMETRES!$C$20,IF(D593="Centrale",PARAMETRES!$C$21,0))</f>
        <v>0</v>
      </c>
      <c r="I593" s="38">
        <f t="shared" si="2"/>
        <v>0</v>
      </c>
      <c r="J593" s="116"/>
      <c r="K593" s="116"/>
      <c r="L593" s="114"/>
    </row>
    <row r="594" ht="15.75" customHeight="1">
      <c r="C594" s="23"/>
      <c r="D594" s="30" t="str">
        <f>IF(C594&lt;&gt;"",VLOOKUP(C594,ENSEIGNES!$B$2:$D971,2,FALSE),"")</f>
        <v/>
      </c>
      <c r="E594" s="30" t="str">
        <f>IF(C594&lt;&gt;"",VLOOKUP(C594,ENSEIGNES!$B$2:$D971,3,FALSE),"")</f>
        <v/>
      </c>
      <c r="F594" s="31"/>
      <c r="G594" s="115"/>
      <c r="H594" s="34">
        <f>IF(D594="Direct",PARAMETRES!$C$20,IF(D594="Centrale",PARAMETRES!$C$21,0))</f>
        <v>0</v>
      </c>
      <c r="I594" s="38">
        <f t="shared" si="2"/>
        <v>0</v>
      </c>
      <c r="J594" s="116"/>
      <c r="K594" s="116"/>
      <c r="L594" s="114"/>
    </row>
    <row r="595" ht="15.75" customHeight="1">
      <c r="C595" s="23"/>
      <c r="D595" s="30" t="str">
        <f>IF(C595&lt;&gt;"",VLOOKUP(C595,ENSEIGNES!$B$2:$D971,2,FALSE),"")</f>
        <v/>
      </c>
      <c r="E595" s="30" t="str">
        <f>IF(C595&lt;&gt;"",VLOOKUP(C595,ENSEIGNES!$B$2:$D971,3,FALSE),"")</f>
        <v/>
      </c>
      <c r="F595" s="31"/>
      <c r="G595" s="115"/>
      <c r="H595" s="34">
        <f>IF(D595="Direct",PARAMETRES!$C$20,IF(D595="Centrale",PARAMETRES!$C$21,0))</f>
        <v>0</v>
      </c>
      <c r="I595" s="38">
        <f t="shared" si="2"/>
        <v>0</v>
      </c>
      <c r="J595" s="116"/>
      <c r="K595" s="116"/>
      <c r="L595" s="114"/>
    </row>
    <row r="596" ht="15.75" customHeight="1">
      <c r="C596" s="23"/>
      <c r="D596" s="30" t="str">
        <f>IF(C596&lt;&gt;"",VLOOKUP(C596,ENSEIGNES!$B$2:$D971,2,FALSE),"")</f>
        <v/>
      </c>
      <c r="E596" s="30" t="str">
        <f>IF(C596&lt;&gt;"",VLOOKUP(C596,ENSEIGNES!$B$2:$D971,3,FALSE),"")</f>
        <v/>
      </c>
      <c r="F596" s="31"/>
      <c r="G596" s="115"/>
      <c r="H596" s="34">
        <f>IF(D596="Direct",PARAMETRES!$C$20,IF(D596="Centrale",PARAMETRES!$C$21,0))</f>
        <v>0</v>
      </c>
      <c r="I596" s="38">
        <f t="shared" si="2"/>
        <v>0</v>
      </c>
      <c r="J596" s="116"/>
      <c r="K596" s="116"/>
      <c r="L596" s="114"/>
    </row>
    <row r="597" ht="15.75" customHeight="1">
      <c r="C597" s="23"/>
      <c r="D597" s="30" t="str">
        <f>IF(C597&lt;&gt;"",VLOOKUP(C597,ENSEIGNES!$B$2:$D971,2,FALSE),"")</f>
        <v/>
      </c>
      <c r="E597" s="30" t="str">
        <f>IF(C597&lt;&gt;"",VLOOKUP(C597,ENSEIGNES!$B$2:$D971,3,FALSE),"")</f>
        <v/>
      </c>
      <c r="F597" s="31"/>
      <c r="G597" s="115"/>
      <c r="H597" s="34">
        <f>IF(D597="Direct",PARAMETRES!$C$20,IF(D597="Centrale",PARAMETRES!$C$21,0))</f>
        <v>0</v>
      </c>
      <c r="I597" s="38">
        <f t="shared" si="2"/>
        <v>0</v>
      </c>
      <c r="J597" s="116"/>
      <c r="K597" s="116"/>
      <c r="L597" s="114"/>
    </row>
    <row r="598" ht="15.75" customHeight="1">
      <c r="C598" s="23"/>
      <c r="D598" s="30" t="str">
        <f>IF(C598&lt;&gt;"",VLOOKUP(C598,ENSEIGNES!$B$2:$D971,2,FALSE),"")</f>
        <v/>
      </c>
      <c r="E598" s="30" t="str">
        <f>IF(C598&lt;&gt;"",VLOOKUP(C598,ENSEIGNES!$B$2:$D971,3,FALSE),"")</f>
        <v/>
      </c>
      <c r="F598" s="31"/>
      <c r="G598" s="115"/>
      <c r="H598" s="34">
        <f>IF(D598="Direct",PARAMETRES!$C$20,IF(D598="Centrale",PARAMETRES!$C$21,0))</f>
        <v>0</v>
      </c>
      <c r="I598" s="38">
        <f t="shared" si="2"/>
        <v>0</v>
      </c>
      <c r="J598" s="116"/>
      <c r="K598" s="116"/>
      <c r="L598" s="114"/>
    </row>
    <row r="599" ht="15.75" customHeight="1">
      <c r="C599" s="23"/>
      <c r="D599" s="30" t="str">
        <f>IF(C599&lt;&gt;"",VLOOKUP(C599,ENSEIGNES!$B$2:$D971,2,FALSE),"")</f>
        <v/>
      </c>
      <c r="E599" s="30" t="str">
        <f>IF(C599&lt;&gt;"",VLOOKUP(C599,ENSEIGNES!$B$2:$D971,3,FALSE),"")</f>
        <v/>
      </c>
      <c r="F599" s="31"/>
      <c r="G599" s="115"/>
      <c r="H599" s="34">
        <f>IF(D599="Direct",PARAMETRES!$C$20,IF(D599="Centrale",PARAMETRES!$C$21,0))</f>
        <v>0</v>
      </c>
      <c r="I599" s="38">
        <f t="shared" si="2"/>
        <v>0</v>
      </c>
      <c r="J599" s="116"/>
      <c r="K599" s="116"/>
      <c r="L599" s="114"/>
    </row>
    <row r="600" ht="15.75" customHeight="1">
      <c r="C600" s="23"/>
      <c r="D600" s="30" t="str">
        <f>IF(C600&lt;&gt;"",VLOOKUP(C600,ENSEIGNES!$B$2:$D971,2,FALSE),"")</f>
        <v/>
      </c>
      <c r="E600" s="30" t="str">
        <f>IF(C600&lt;&gt;"",VLOOKUP(C600,ENSEIGNES!$B$2:$D971,3,FALSE),"")</f>
        <v/>
      </c>
      <c r="G600" s="115"/>
      <c r="H600" s="34">
        <f>IF(D600="Direct",PARAMETRES!$C$20,IF(D600="Centrale",PARAMETRES!$C$21,0))</f>
        <v>0</v>
      </c>
      <c r="I600" s="38">
        <f t="shared" si="2"/>
        <v>0</v>
      </c>
      <c r="J600" s="116"/>
      <c r="K600" s="116"/>
      <c r="L600" s="114"/>
    </row>
    <row r="601" ht="15.75" customHeight="1">
      <c r="C601" s="23"/>
      <c r="D601" s="30" t="str">
        <f>IF(C601&lt;&gt;"",VLOOKUP(C601,ENSEIGNES!$B$2:$D971,2,FALSE),"")</f>
        <v/>
      </c>
      <c r="E601" s="30" t="str">
        <f>IF(C601&lt;&gt;"",VLOOKUP(C601,ENSEIGNES!$B$2:$D971,3,FALSE),"")</f>
        <v/>
      </c>
      <c r="G601" s="115"/>
      <c r="H601" s="34">
        <f>IF(D601="Direct",PARAMETRES!$C$20,IF(D601="Centrale",PARAMETRES!$C$21,0))</f>
        <v>0</v>
      </c>
      <c r="I601" s="38">
        <f t="shared" si="2"/>
        <v>0</v>
      </c>
      <c r="J601" s="116"/>
      <c r="K601" s="116"/>
      <c r="L601" s="114"/>
    </row>
    <row r="602" ht="15.75" customHeight="1">
      <c r="C602" s="23"/>
      <c r="D602" s="30" t="str">
        <f>IF(C602&lt;&gt;"",VLOOKUP(C602,ENSEIGNES!$B$2:$D971,2,FALSE),"")</f>
        <v/>
      </c>
      <c r="E602" s="30" t="str">
        <f>IF(C602&lt;&gt;"",VLOOKUP(C602,ENSEIGNES!$B$2:$D971,3,FALSE),"")</f>
        <v/>
      </c>
      <c r="F602" s="31"/>
      <c r="G602" s="115"/>
      <c r="H602" s="34">
        <f>IF(D602="Direct",PARAMETRES!$C$20,IF(D602="Centrale",PARAMETRES!$C$21,0))</f>
        <v>0</v>
      </c>
      <c r="I602" s="38">
        <f t="shared" si="2"/>
        <v>0</v>
      </c>
      <c r="J602" s="116"/>
      <c r="K602" s="116"/>
      <c r="L602" s="114"/>
    </row>
    <row r="603" ht="15.75" customHeight="1">
      <c r="C603" s="23"/>
      <c r="D603" s="30" t="str">
        <f>IF(C603&lt;&gt;"",VLOOKUP(C603,ENSEIGNES!$B$2:$D971,2,FALSE),"")</f>
        <v/>
      </c>
      <c r="E603" s="30" t="str">
        <f>IF(C603&lt;&gt;"",VLOOKUP(C603,ENSEIGNES!$B$2:$D971,3,FALSE),"")</f>
        <v/>
      </c>
      <c r="G603" s="115"/>
      <c r="H603" s="34">
        <f>IF(D603="Direct",PARAMETRES!$C$20,IF(D603="Centrale",PARAMETRES!$C$21,0))</f>
        <v>0</v>
      </c>
      <c r="I603" s="38">
        <f t="shared" si="2"/>
        <v>0</v>
      </c>
      <c r="J603" s="116"/>
      <c r="K603" s="116"/>
      <c r="L603" s="114"/>
    </row>
    <row r="604" ht="15.75" customHeight="1">
      <c r="C604" s="23"/>
      <c r="D604" s="30" t="str">
        <f>IF(C604&lt;&gt;"",VLOOKUP(C604,ENSEIGNES!$B$2:$D971,2,FALSE),"")</f>
        <v/>
      </c>
      <c r="E604" s="30" t="str">
        <f>IF(C604&lt;&gt;"",VLOOKUP(C604,ENSEIGNES!$B$2:$D971,3,FALSE),"")</f>
        <v/>
      </c>
      <c r="G604" s="115"/>
      <c r="H604" s="34">
        <f>IF(D604="Direct",PARAMETRES!$C$20,IF(D604="Centrale",PARAMETRES!$C$21,0))</f>
        <v>0</v>
      </c>
      <c r="I604" s="38">
        <f t="shared" si="2"/>
        <v>0</v>
      </c>
      <c r="J604" s="116"/>
      <c r="K604" s="116"/>
      <c r="L604" s="114"/>
    </row>
    <row r="605" ht="15.75" customHeight="1">
      <c r="C605" s="23"/>
      <c r="D605" s="30" t="str">
        <f>IF(C605&lt;&gt;"",VLOOKUP(C605,ENSEIGNES!$B$2:$D971,2,FALSE),"")</f>
        <v/>
      </c>
      <c r="E605" s="30" t="str">
        <f>IF(C605&lt;&gt;"",VLOOKUP(C605,ENSEIGNES!$B$2:$D971,3,FALSE),"")</f>
        <v/>
      </c>
      <c r="F605" s="31"/>
      <c r="G605" s="115"/>
      <c r="H605" s="34">
        <f>IF(D605="Direct",PARAMETRES!$C$20,IF(D605="Centrale",PARAMETRES!$C$21,0))</f>
        <v>0</v>
      </c>
      <c r="I605" s="38">
        <f t="shared" si="2"/>
        <v>0</v>
      </c>
      <c r="J605" s="116"/>
      <c r="K605" s="116"/>
      <c r="L605" s="114"/>
    </row>
    <row r="606" ht="15.75" customHeight="1">
      <c r="C606" s="23"/>
      <c r="D606" s="30" t="str">
        <f>IF(C606&lt;&gt;"",VLOOKUP(C606,ENSEIGNES!$B$2:$D971,2,FALSE),"")</f>
        <v/>
      </c>
      <c r="E606" s="30" t="str">
        <f>IF(C606&lt;&gt;"",VLOOKUP(C606,ENSEIGNES!$B$2:$D971,3,FALSE),"")</f>
        <v/>
      </c>
      <c r="G606" s="115"/>
      <c r="H606" s="34">
        <f>IF(D606="Direct",PARAMETRES!$C$20,IF(D606="Centrale",PARAMETRES!$C$21,0))</f>
        <v>0</v>
      </c>
      <c r="I606" s="38">
        <f t="shared" si="2"/>
        <v>0</v>
      </c>
      <c r="J606" s="116"/>
      <c r="K606" s="116"/>
      <c r="L606" s="114"/>
    </row>
    <row r="607" ht="15.75" customHeight="1">
      <c r="C607" s="23"/>
      <c r="D607" s="30" t="str">
        <f>IF(C607&lt;&gt;"",VLOOKUP(C607,ENSEIGNES!$B$2:$D971,2,FALSE),"")</f>
        <v/>
      </c>
      <c r="E607" s="30" t="str">
        <f>IF(C607&lt;&gt;"",VLOOKUP(C607,ENSEIGNES!$B$2:$D971,3,FALSE),"")</f>
        <v/>
      </c>
      <c r="G607" s="115"/>
      <c r="H607" s="34">
        <f>IF(D607="Direct",PARAMETRES!$C$20,IF(D607="Centrale",PARAMETRES!$C$21,0))</f>
        <v>0</v>
      </c>
      <c r="I607" s="38">
        <f t="shared" si="2"/>
        <v>0</v>
      </c>
      <c r="J607" s="116"/>
      <c r="K607" s="116"/>
      <c r="L607" s="114"/>
    </row>
    <row r="608" ht="15.75" customHeight="1">
      <c r="C608" s="23"/>
      <c r="D608" s="30" t="str">
        <f>IF(C608&lt;&gt;"",VLOOKUP(C608,ENSEIGNES!$B$2:$D971,2,FALSE),"")</f>
        <v/>
      </c>
      <c r="E608" s="30" t="str">
        <f>IF(C608&lt;&gt;"",VLOOKUP(C608,ENSEIGNES!$B$2:$D971,3,FALSE),"")</f>
        <v/>
      </c>
      <c r="F608" s="31"/>
      <c r="G608" s="115"/>
      <c r="H608" s="34">
        <f>IF(D608="Direct",PARAMETRES!$C$20,IF(D608="Centrale",PARAMETRES!$C$21,0))</f>
        <v>0</v>
      </c>
      <c r="I608" s="38">
        <f t="shared" si="2"/>
        <v>0</v>
      </c>
      <c r="J608" s="116"/>
      <c r="K608" s="116"/>
      <c r="L608" s="114"/>
    </row>
    <row r="609" ht="15.75" customHeight="1">
      <c r="C609" s="23"/>
      <c r="D609" s="30" t="str">
        <f>IF(C609&lt;&gt;"",VLOOKUP(C609,ENSEIGNES!$B$2:$D971,2,FALSE),"")</f>
        <v/>
      </c>
      <c r="E609" s="30" t="str">
        <f>IF(C609&lt;&gt;"",VLOOKUP(C609,ENSEIGNES!$B$2:$D971,3,FALSE),"")</f>
        <v/>
      </c>
      <c r="G609" s="115"/>
      <c r="H609" s="34">
        <f>IF(D609="Direct",PARAMETRES!$C$20,IF(D609="Centrale",PARAMETRES!$C$21,0))</f>
        <v>0</v>
      </c>
      <c r="I609" s="38">
        <f t="shared" si="2"/>
        <v>0</v>
      </c>
      <c r="J609" s="116"/>
      <c r="K609" s="116"/>
      <c r="L609" s="114"/>
    </row>
    <row r="610" ht="15.75" customHeight="1">
      <c r="C610" s="23"/>
      <c r="D610" s="30" t="str">
        <f>IF(C610&lt;&gt;"",VLOOKUP(C610,ENSEIGNES!$B$2:$D971,2,FALSE),"")</f>
        <v/>
      </c>
      <c r="E610" s="30" t="str">
        <f>IF(C610&lt;&gt;"",VLOOKUP(C610,ENSEIGNES!$B$2:$D971,3,FALSE),"")</f>
        <v/>
      </c>
      <c r="G610" s="115"/>
      <c r="H610" s="34">
        <f>IF(D610="Direct",PARAMETRES!$C$20,IF(D610="Centrale",PARAMETRES!$C$21,0))</f>
        <v>0</v>
      </c>
      <c r="I610" s="38">
        <f t="shared" si="2"/>
        <v>0</v>
      </c>
      <c r="J610" s="116"/>
      <c r="K610" s="116"/>
      <c r="L610" s="114"/>
    </row>
    <row r="611" ht="15.75" customHeight="1">
      <c r="C611" s="23"/>
      <c r="D611" s="30" t="str">
        <f>IF(C611&lt;&gt;"",VLOOKUP(C611,ENSEIGNES!$B$2:$D971,2,FALSE),"")</f>
        <v/>
      </c>
      <c r="E611" s="30" t="str">
        <f>IF(C611&lt;&gt;"",VLOOKUP(C611,ENSEIGNES!$B$2:$D971,3,FALSE),"")</f>
        <v/>
      </c>
      <c r="F611" s="31"/>
      <c r="G611" s="115"/>
      <c r="H611" s="34">
        <f>IF(D611="Direct",PARAMETRES!$C$20,IF(D611="Centrale",PARAMETRES!$C$21,0))</f>
        <v>0</v>
      </c>
      <c r="I611" s="38">
        <f t="shared" si="2"/>
        <v>0</v>
      </c>
      <c r="J611" s="116"/>
      <c r="K611" s="116"/>
      <c r="L611" s="114"/>
    </row>
    <row r="612" ht="15.75" customHeight="1">
      <c r="C612" s="23"/>
      <c r="D612" s="30" t="str">
        <f>IF(C612&lt;&gt;"",VLOOKUP(C612,ENSEIGNES!$B$2:$D971,2,FALSE),"")</f>
        <v/>
      </c>
      <c r="E612" s="30" t="str">
        <f>IF(C612&lt;&gt;"",VLOOKUP(C612,ENSEIGNES!$B$2:$D971,3,FALSE),"")</f>
        <v/>
      </c>
      <c r="G612" s="115"/>
      <c r="H612" s="34">
        <f>IF(D612="Direct",PARAMETRES!$C$20,IF(D612="Centrale",PARAMETRES!$C$21,0))</f>
        <v>0</v>
      </c>
      <c r="I612" s="38">
        <f t="shared" si="2"/>
        <v>0</v>
      </c>
      <c r="J612" s="116"/>
      <c r="K612" s="116"/>
      <c r="L612" s="114"/>
    </row>
    <row r="613" ht="15.75" customHeight="1">
      <c r="C613" s="23"/>
      <c r="D613" s="30" t="str">
        <f>IF(C613&lt;&gt;"",VLOOKUP(C613,ENSEIGNES!$B$2:$D971,2,FALSE),"")</f>
        <v/>
      </c>
      <c r="E613" s="30" t="str">
        <f>IF(C613&lt;&gt;"",VLOOKUP(C613,ENSEIGNES!$B$2:$D971,3,FALSE),"")</f>
        <v/>
      </c>
      <c r="G613" s="115"/>
      <c r="H613" s="34">
        <f>IF(D613="Direct",PARAMETRES!$C$20,IF(D613="Centrale",PARAMETRES!$C$21,0))</f>
        <v>0</v>
      </c>
      <c r="I613" s="38">
        <f t="shared" si="2"/>
        <v>0</v>
      </c>
      <c r="J613" s="116"/>
      <c r="K613" s="116"/>
      <c r="L613" s="114"/>
    </row>
    <row r="614" ht="15.75" customHeight="1">
      <c r="C614" s="23"/>
      <c r="D614" s="30" t="str">
        <f>IF(C614&lt;&gt;"",VLOOKUP(C614,ENSEIGNES!$B$2:$D971,2,FALSE),"")</f>
        <v/>
      </c>
      <c r="E614" s="30" t="str">
        <f>IF(C614&lt;&gt;"",VLOOKUP(C614,ENSEIGNES!$B$2:$D971,3,FALSE),"")</f>
        <v/>
      </c>
      <c r="F614" s="31"/>
      <c r="G614" s="115"/>
      <c r="H614" s="34">
        <f>IF(D614="Direct",PARAMETRES!$C$20,IF(D614="Centrale",PARAMETRES!$C$21,0))</f>
        <v>0</v>
      </c>
      <c r="I614" s="38">
        <f t="shared" si="2"/>
        <v>0</v>
      </c>
      <c r="J614" s="116"/>
      <c r="K614" s="116"/>
      <c r="L614" s="114"/>
    </row>
    <row r="615" ht="15.75" customHeight="1">
      <c r="C615" s="23"/>
      <c r="D615" s="30" t="str">
        <f>IF(C615&lt;&gt;"",VLOOKUP(C615,ENSEIGNES!$B$2:$D971,2,FALSE),"")</f>
        <v/>
      </c>
      <c r="E615" s="30" t="str">
        <f>IF(C615&lt;&gt;"",VLOOKUP(C615,ENSEIGNES!$B$2:$D971,3,FALSE),"")</f>
        <v/>
      </c>
      <c r="G615" s="115"/>
      <c r="H615" s="34">
        <f>IF(D615="Direct",PARAMETRES!$C$20,IF(D615="Centrale",PARAMETRES!$C$21,0))</f>
        <v>0</v>
      </c>
      <c r="I615" s="38">
        <f t="shared" si="2"/>
        <v>0</v>
      </c>
      <c r="J615" s="116"/>
      <c r="K615" s="116"/>
      <c r="L615" s="114"/>
    </row>
    <row r="616" ht="15.75" customHeight="1">
      <c r="C616" s="23"/>
      <c r="D616" s="30" t="str">
        <f>IF(C616&lt;&gt;"",VLOOKUP(C616,ENSEIGNES!$B$2:$D971,2,FALSE),"")</f>
        <v/>
      </c>
      <c r="E616" s="30" t="str">
        <f>IF(C616&lt;&gt;"",VLOOKUP(C616,ENSEIGNES!$B$2:$D971,3,FALSE),"")</f>
        <v/>
      </c>
      <c r="G616" s="115"/>
      <c r="H616" s="34">
        <f>IF(D616="Direct",PARAMETRES!$C$20,IF(D616="Centrale",PARAMETRES!$C$21,0))</f>
        <v>0</v>
      </c>
      <c r="I616" s="38">
        <f t="shared" si="2"/>
        <v>0</v>
      </c>
      <c r="J616" s="116"/>
      <c r="K616" s="116"/>
      <c r="L616" s="114"/>
    </row>
    <row r="617" ht="15.75" customHeight="1">
      <c r="C617" s="23"/>
      <c r="D617" s="30" t="str">
        <f>IF(C617&lt;&gt;"",VLOOKUP(C617,ENSEIGNES!$B$2:$D971,2,FALSE),"")</f>
        <v/>
      </c>
      <c r="E617" s="30" t="str">
        <f>IF(C617&lt;&gt;"",VLOOKUP(C617,ENSEIGNES!$B$2:$D971,3,FALSE),"")</f>
        <v/>
      </c>
      <c r="F617" s="31"/>
      <c r="G617" s="115"/>
      <c r="H617" s="34">
        <f>IF(D617="Direct",PARAMETRES!$C$20,IF(D617="Centrale",PARAMETRES!$C$21,0))</f>
        <v>0</v>
      </c>
      <c r="I617" s="38">
        <f t="shared" si="2"/>
        <v>0</v>
      </c>
      <c r="J617" s="116"/>
      <c r="K617" s="116"/>
      <c r="L617" s="114"/>
    </row>
    <row r="618" ht="15.75" customHeight="1">
      <c r="C618" s="23"/>
      <c r="D618" s="30" t="str">
        <f>IF(C618&lt;&gt;"",VLOOKUP(C618,ENSEIGNES!$B$2:$D971,2,FALSE),"")</f>
        <v/>
      </c>
      <c r="E618" s="30" t="str">
        <f>IF(C618&lt;&gt;"",VLOOKUP(C618,ENSEIGNES!$B$2:$D971,3,FALSE),"")</f>
        <v/>
      </c>
      <c r="G618" s="115"/>
      <c r="H618" s="34">
        <f>IF(D618="Direct",PARAMETRES!$C$20,IF(D618="Centrale",PARAMETRES!$C$21,0))</f>
        <v>0</v>
      </c>
      <c r="I618" s="38">
        <f t="shared" si="2"/>
        <v>0</v>
      </c>
      <c r="J618" s="116"/>
      <c r="K618" s="116"/>
      <c r="L618" s="114"/>
    </row>
    <row r="619" ht="15.75" customHeight="1">
      <c r="C619" s="23"/>
      <c r="D619" s="30" t="str">
        <f>IF(C619&lt;&gt;"",VLOOKUP(C619,ENSEIGNES!$B$2:$D971,2,FALSE),"")</f>
        <v/>
      </c>
      <c r="E619" s="30" t="str">
        <f>IF(C619&lt;&gt;"",VLOOKUP(C619,ENSEIGNES!$B$2:$D971,3,FALSE),"")</f>
        <v/>
      </c>
      <c r="G619" s="115"/>
      <c r="H619" s="34">
        <f>IF(D619="Direct",PARAMETRES!$C$20,IF(D619="Centrale",PARAMETRES!$C$21,0))</f>
        <v>0</v>
      </c>
      <c r="I619" s="38">
        <f t="shared" si="2"/>
        <v>0</v>
      </c>
      <c r="J619" s="116"/>
      <c r="K619" s="116"/>
      <c r="L619" s="114"/>
    </row>
    <row r="620" ht="15.75" customHeight="1">
      <c r="C620" s="23"/>
      <c r="D620" s="30" t="str">
        <f>IF(C620&lt;&gt;"",VLOOKUP(C620,ENSEIGNES!$B$2:$D971,2,FALSE),"")</f>
        <v/>
      </c>
      <c r="E620" s="30" t="str">
        <f>IF(C620&lt;&gt;"",VLOOKUP(C620,ENSEIGNES!$B$2:$D971,3,FALSE),"")</f>
        <v/>
      </c>
      <c r="F620" s="31"/>
      <c r="G620" s="115"/>
      <c r="H620" s="34">
        <f>IF(D620="Direct",PARAMETRES!$C$20,IF(D620="Centrale",PARAMETRES!$C$21,0))</f>
        <v>0</v>
      </c>
      <c r="I620" s="38">
        <f t="shared" si="2"/>
        <v>0</v>
      </c>
      <c r="J620" s="116"/>
      <c r="K620" s="116"/>
      <c r="L620" s="114"/>
    </row>
    <row r="621" ht="15.75" customHeight="1">
      <c r="C621" s="23"/>
      <c r="D621" s="30" t="str">
        <f>IF(C621&lt;&gt;"",VLOOKUP(C621,ENSEIGNES!$B$2:$D971,2,FALSE),"")</f>
        <v/>
      </c>
      <c r="E621" s="30" t="str">
        <f>IF(C621&lt;&gt;"",VLOOKUP(C621,ENSEIGNES!$B$2:$D971,3,FALSE),"")</f>
        <v/>
      </c>
      <c r="G621" s="115"/>
      <c r="H621" s="34">
        <f>IF(D621="Direct",PARAMETRES!$C$20,IF(D621="Centrale",PARAMETRES!$C$21,0))</f>
        <v>0</v>
      </c>
      <c r="I621" s="38">
        <f t="shared" si="2"/>
        <v>0</v>
      </c>
      <c r="J621" s="116"/>
      <c r="K621" s="116"/>
      <c r="L621" s="114"/>
    </row>
    <row r="622" ht="15.75" customHeight="1">
      <c r="C622" s="23"/>
      <c r="D622" s="30" t="str">
        <f>IF(C622&lt;&gt;"",VLOOKUP(C622,ENSEIGNES!$B$2:$D971,2,FALSE),"")</f>
        <v/>
      </c>
      <c r="E622" s="30" t="str">
        <f>IF(C622&lt;&gt;"",VLOOKUP(C622,ENSEIGNES!$B$2:$D971,3,FALSE),"")</f>
        <v/>
      </c>
      <c r="G622" s="115"/>
      <c r="H622" s="34">
        <f>IF(D622="Direct",PARAMETRES!$C$20,IF(D622="Centrale",PARAMETRES!$C$21,0))</f>
        <v>0</v>
      </c>
      <c r="I622" s="38">
        <f t="shared" si="2"/>
        <v>0</v>
      </c>
      <c r="J622" s="116"/>
      <c r="K622" s="116"/>
      <c r="L622" s="114"/>
    </row>
    <row r="623" ht="15.75" customHeight="1">
      <c r="C623" s="23"/>
      <c r="D623" s="30" t="str">
        <f>IF(C623&lt;&gt;"",VLOOKUP(C623,ENSEIGNES!$B$2:$D971,2,FALSE),"")</f>
        <v/>
      </c>
      <c r="E623" s="30" t="str">
        <f>IF(C623&lt;&gt;"",VLOOKUP(C623,ENSEIGNES!$B$2:$D971,3,FALSE),"")</f>
        <v/>
      </c>
      <c r="F623" s="31"/>
      <c r="G623" s="115"/>
      <c r="H623" s="34">
        <f>IF(D623="Direct",PARAMETRES!$C$20,IF(D623="Centrale",PARAMETRES!$C$21,0))</f>
        <v>0</v>
      </c>
      <c r="I623" s="38">
        <f t="shared" si="2"/>
        <v>0</v>
      </c>
      <c r="J623" s="116"/>
      <c r="K623" s="116"/>
      <c r="L623" s="114"/>
    </row>
    <row r="624" ht="15.75" customHeight="1">
      <c r="C624" s="23"/>
      <c r="D624" s="30" t="str">
        <f>IF(C624&lt;&gt;"",VLOOKUP(C624,ENSEIGNES!$B$2:$D971,2,FALSE),"")</f>
        <v/>
      </c>
      <c r="E624" s="30" t="str">
        <f>IF(C624&lt;&gt;"",VLOOKUP(C624,ENSEIGNES!$B$2:$D971,3,FALSE),"")</f>
        <v/>
      </c>
      <c r="G624" s="115"/>
      <c r="H624" s="34">
        <f>IF(D624="Direct",PARAMETRES!$C$20,IF(D624="Centrale",PARAMETRES!$C$21,0))</f>
        <v>0</v>
      </c>
      <c r="I624" s="38">
        <f t="shared" si="2"/>
        <v>0</v>
      </c>
      <c r="J624" s="116"/>
      <c r="K624" s="116"/>
      <c r="L624" s="114"/>
    </row>
    <row r="625" ht="15.75" customHeight="1">
      <c r="C625" s="23"/>
      <c r="D625" s="30" t="str">
        <f>IF(C625&lt;&gt;"",VLOOKUP(C625,ENSEIGNES!$B$2:$D971,2,FALSE),"")</f>
        <v/>
      </c>
      <c r="E625" s="30" t="str">
        <f>IF(C625&lt;&gt;"",VLOOKUP(C625,ENSEIGNES!$B$2:$D971,3,FALSE),"")</f>
        <v/>
      </c>
      <c r="G625" s="115"/>
      <c r="H625" s="34">
        <f>IF(D625="Direct",PARAMETRES!$C$20,IF(D625="Centrale",PARAMETRES!$C$21,0))</f>
        <v>0</v>
      </c>
      <c r="I625" s="38">
        <f t="shared" si="2"/>
        <v>0</v>
      </c>
      <c r="J625" s="116"/>
      <c r="K625" s="116"/>
      <c r="L625" s="114"/>
    </row>
    <row r="626" ht="15.75" customHeight="1">
      <c r="C626" s="23"/>
      <c r="D626" s="30" t="str">
        <f>IF(C626&lt;&gt;"",VLOOKUP(C626,ENSEIGNES!$B$2:$D971,2,FALSE),"")</f>
        <v/>
      </c>
      <c r="E626" s="30" t="str">
        <f>IF(C626&lt;&gt;"",VLOOKUP(C626,ENSEIGNES!$B$2:$D971,3,FALSE),"")</f>
        <v/>
      </c>
      <c r="F626" s="31"/>
      <c r="G626" s="115"/>
      <c r="H626" s="34">
        <f>IF(D626="Direct",PARAMETRES!$C$20,IF(D626="Centrale",PARAMETRES!$C$21,0))</f>
        <v>0</v>
      </c>
      <c r="I626" s="38">
        <f t="shared" si="2"/>
        <v>0</v>
      </c>
      <c r="J626" s="116"/>
      <c r="K626" s="116"/>
      <c r="L626" s="114"/>
    </row>
    <row r="627" ht="15.75" customHeight="1">
      <c r="C627" s="23"/>
      <c r="D627" s="30" t="str">
        <f>IF(C627&lt;&gt;"",VLOOKUP(C627,ENSEIGNES!$B$2:$D971,2,FALSE),"")</f>
        <v/>
      </c>
      <c r="E627" s="30" t="str">
        <f>IF(C627&lt;&gt;"",VLOOKUP(C627,ENSEIGNES!$B$2:$D971,3,FALSE),"")</f>
        <v/>
      </c>
      <c r="G627" s="115"/>
      <c r="H627" s="34">
        <f>IF(D627="Direct",PARAMETRES!$C$20,IF(D627="Centrale",PARAMETRES!$C$21,0))</f>
        <v>0</v>
      </c>
      <c r="I627" s="38">
        <f t="shared" si="2"/>
        <v>0</v>
      </c>
      <c r="J627" s="116"/>
      <c r="K627" s="116"/>
      <c r="L627" s="114"/>
    </row>
    <row r="628" ht="15.75" customHeight="1">
      <c r="C628" s="23"/>
      <c r="D628" s="30" t="str">
        <f>IF(C628&lt;&gt;"",VLOOKUP(C628,ENSEIGNES!$B$2:$D971,2,FALSE),"")</f>
        <v/>
      </c>
      <c r="E628" s="30" t="str">
        <f>IF(C628&lt;&gt;"",VLOOKUP(C628,ENSEIGNES!$B$2:$D971,3,FALSE),"")</f>
        <v/>
      </c>
      <c r="G628" s="115"/>
      <c r="H628" s="34">
        <f>IF(D628="Direct",PARAMETRES!$C$20,IF(D628="Centrale",PARAMETRES!$C$21,0))</f>
        <v>0</v>
      </c>
      <c r="I628" s="38">
        <f t="shared" si="2"/>
        <v>0</v>
      </c>
      <c r="J628" s="116"/>
      <c r="K628" s="116"/>
      <c r="L628" s="114"/>
    </row>
    <row r="629" ht="15.75" customHeight="1">
      <c r="C629" s="23"/>
      <c r="D629" s="30" t="str">
        <f>IF(C629&lt;&gt;"",VLOOKUP(C629,ENSEIGNES!$B$2:$D971,2,FALSE),"")</f>
        <v/>
      </c>
      <c r="E629" s="30" t="str">
        <f>IF(C629&lt;&gt;"",VLOOKUP(C629,ENSEIGNES!$B$2:$D971,3,FALSE),"")</f>
        <v/>
      </c>
      <c r="F629" s="31"/>
      <c r="G629" s="115"/>
      <c r="H629" s="34">
        <f>IF(D629="Direct",PARAMETRES!$C$20,IF(D629="Centrale",PARAMETRES!$C$21,0))</f>
        <v>0</v>
      </c>
      <c r="I629" s="38">
        <f t="shared" si="2"/>
        <v>0</v>
      </c>
      <c r="J629" s="116"/>
      <c r="K629" s="116"/>
      <c r="L629" s="114"/>
    </row>
    <row r="630" ht="15.75" customHeight="1">
      <c r="C630" s="23"/>
      <c r="D630" s="30" t="str">
        <f>IF(C630&lt;&gt;"",VLOOKUP(C630,ENSEIGNES!$B$2:$D971,2,FALSE),"")</f>
        <v/>
      </c>
      <c r="E630" s="30" t="str">
        <f>IF(C630&lt;&gt;"",VLOOKUP(C630,ENSEIGNES!$B$2:$D971,3,FALSE),"")</f>
        <v/>
      </c>
      <c r="G630" s="115"/>
      <c r="H630" s="34">
        <f>IF(D630="Direct",PARAMETRES!$C$20,IF(D630="Centrale",PARAMETRES!$C$21,0))</f>
        <v>0</v>
      </c>
      <c r="I630" s="38">
        <f t="shared" si="2"/>
        <v>0</v>
      </c>
      <c r="J630" s="116"/>
      <c r="K630" s="116"/>
      <c r="L630" s="114"/>
    </row>
    <row r="631" ht="15.75" customHeight="1">
      <c r="C631" s="23"/>
      <c r="D631" s="30" t="str">
        <f>IF(C631&lt;&gt;"",VLOOKUP(C631,ENSEIGNES!$B$2:$D971,2,FALSE),"")</f>
        <v/>
      </c>
      <c r="E631" s="30" t="str">
        <f>IF(C631&lt;&gt;"",VLOOKUP(C631,ENSEIGNES!$B$2:$D971,3,FALSE),"")</f>
        <v/>
      </c>
      <c r="G631" s="115"/>
      <c r="H631" s="34">
        <f>IF(D631="Direct",PARAMETRES!$C$20,IF(D631="Centrale",PARAMETRES!$C$21,0))</f>
        <v>0</v>
      </c>
      <c r="I631" s="38">
        <f t="shared" si="2"/>
        <v>0</v>
      </c>
      <c r="J631" s="116"/>
      <c r="K631" s="116"/>
      <c r="L631" s="114"/>
    </row>
    <row r="632" ht="15.75" customHeight="1">
      <c r="C632" s="23"/>
      <c r="D632" s="30" t="str">
        <f>IF(C632&lt;&gt;"",VLOOKUP(C632,ENSEIGNES!$B$2:$D971,2,FALSE),"")</f>
        <v/>
      </c>
      <c r="E632" s="30" t="str">
        <f>IF(C632&lt;&gt;"",VLOOKUP(C632,ENSEIGNES!$B$2:$D971,3,FALSE),"")</f>
        <v/>
      </c>
      <c r="F632" s="31"/>
      <c r="G632" s="115"/>
      <c r="H632" s="34">
        <f>IF(D632="Direct",PARAMETRES!$C$20,IF(D632="Centrale",PARAMETRES!$C$21,0))</f>
        <v>0</v>
      </c>
      <c r="I632" s="38">
        <f t="shared" si="2"/>
        <v>0</v>
      </c>
      <c r="J632" s="116"/>
      <c r="K632" s="116"/>
      <c r="L632" s="114"/>
    </row>
    <row r="633" ht="15.75" customHeight="1">
      <c r="C633" s="23"/>
      <c r="D633" s="30" t="str">
        <f>IF(C633&lt;&gt;"",VLOOKUP(C633,ENSEIGNES!$B$2:$D971,2,FALSE),"")</f>
        <v/>
      </c>
      <c r="E633" s="30" t="str">
        <f>IF(C633&lt;&gt;"",VLOOKUP(C633,ENSEIGNES!$B$2:$D971,3,FALSE),"")</f>
        <v/>
      </c>
      <c r="G633" s="115"/>
      <c r="H633" s="34">
        <f>IF(D633="Direct",PARAMETRES!$C$20,IF(D633="Centrale",PARAMETRES!$C$21,0))</f>
        <v>0</v>
      </c>
      <c r="I633" s="38">
        <f t="shared" si="2"/>
        <v>0</v>
      </c>
      <c r="J633" s="116"/>
      <c r="K633" s="116"/>
      <c r="L633" s="114"/>
    </row>
    <row r="634" ht="15.75" customHeight="1">
      <c r="C634" s="23"/>
      <c r="D634" s="30" t="str">
        <f>IF(C634&lt;&gt;"",VLOOKUP(C634,ENSEIGNES!$B$2:$D971,2,FALSE),"")</f>
        <v/>
      </c>
      <c r="E634" s="30" t="str">
        <f>IF(C634&lt;&gt;"",VLOOKUP(C634,ENSEIGNES!$B$2:$D971,3,FALSE),"")</f>
        <v/>
      </c>
      <c r="G634" s="115"/>
      <c r="H634" s="34">
        <f>IF(D634="Direct",PARAMETRES!$C$20,IF(D634="Centrale",PARAMETRES!$C$21,0))</f>
        <v>0</v>
      </c>
      <c r="I634" s="38">
        <f t="shared" si="2"/>
        <v>0</v>
      </c>
      <c r="J634" s="116"/>
      <c r="K634" s="116"/>
      <c r="L634" s="114"/>
    </row>
    <row r="635" ht="15.75" customHeight="1">
      <c r="C635" s="23"/>
      <c r="D635" s="30" t="str">
        <f>IF(C635&lt;&gt;"",VLOOKUP(C635,ENSEIGNES!$B$2:$D971,2,FALSE),"")</f>
        <v/>
      </c>
      <c r="E635" s="30" t="str">
        <f>IF(C635&lt;&gt;"",VLOOKUP(C635,ENSEIGNES!$B$2:$D971,3,FALSE),"")</f>
        <v/>
      </c>
      <c r="F635" s="31"/>
      <c r="G635" s="115"/>
      <c r="H635" s="34">
        <f>IF(D635="Direct",PARAMETRES!$C$20,IF(D635="Centrale",PARAMETRES!$C$21,0))</f>
        <v>0</v>
      </c>
      <c r="I635" s="38">
        <f t="shared" si="2"/>
        <v>0</v>
      </c>
      <c r="J635" s="116"/>
      <c r="K635" s="116"/>
      <c r="L635" s="114"/>
    </row>
    <row r="636" ht="15.75" customHeight="1">
      <c r="C636" s="23"/>
      <c r="D636" s="30" t="str">
        <f>IF(C636&lt;&gt;"",VLOOKUP(C636,ENSEIGNES!$B$2:$D971,2,FALSE),"")</f>
        <v/>
      </c>
      <c r="E636" s="30" t="str">
        <f>IF(C636&lt;&gt;"",VLOOKUP(C636,ENSEIGNES!$B$2:$D971,3,FALSE),"")</f>
        <v/>
      </c>
      <c r="G636" s="115"/>
      <c r="H636" s="34">
        <f>IF(D636="Direct",PARAMETRES!$C$20,IF(D636="Centrale",PARAMETRES!$C$21,0))</f>
        <v>0</v>
      </c>
      <c r="I636" s="38">
        <f t="shared" si="2"/>
        <v>0</v>
      </c>
      <c r="J636" s="116"/>
      <c r="K636" s="116"/>
      <c r="L636" s="114"/>
    </row>
    <row r="637" ht="15.75" customHeight="1">
      <c r="C637" s="23"/>
      <c r="D637" s="30" t="str">
        <f>IF(C637&lt;&gt;"",VLOOKUP(C637,ENSEIGNES!$B$2:$D971,2,FALSE),"")</f>
        <v/>
      </c>
      <c r="E637" s="30" t="str">
        <f>IF(C637&lt;&gt;"",VLOOKUP(C637,ENSEIGNES!$B$2:$D971,3,FALSE),"")</f>
        <v/>
      </c>
      <c r="G637" s="115"/>
      <c r="H637" s="34">
        <f>IF(D637="Direct",PARAMETRES!$C$20,IF(D637="Centrale",PARAMETRES!$C$21,0))</f>
        <v>0</v>
      </c>
      <c r="I637" s="38">
        <f t="shared" si="2"/>
        <v>0</v>
      </c>
      <c r="J637" s="116"/>
      <c r="K637" s="116"/>
      <c r="L637" s="114"/>
    </row>
    <row r="638" ht="15.75" customHeight="1">
      <c r="C638" s="23"/>
      <c r="D638" s="30" t="str">
        <f>IF(C638&lt;&gt;"",VLOOKUP(C638,ENSEIGNES!$B$2:$D971,2,FALSE),"")</f>
        <v/>
      </c>
      <c r="E638" s="30" t="str">
        <f>IF(C638&lt;&gt;"",VLOOKUP(C638,ENSEIGNES!$B$2:$D971,3,FALSE),"")</f>
        <v/>
      </c>
      <c r="F638" s="31"/>
      <c r="G638" s="115"/>
      <c r="H638" s="34">
        <f>IF(D638="Direct",PARAMETRES!$C$20,IF(D638="Centrale",PARAMETRES!$C$21,0))</f>
        <v>0</v>
      </c>
      <c r="I638" s="38">
        <f t="shared" si="2"/>
        <v>0</v>
      </c>
      <c r="J638" s="116"/>
      <c r="K638" s="116"/>
      <c r="L638" s="114"/>
    </row>
    <row r="639" ht="15.75" customHeight="1">
      <c r="C639" s="23"/>
      <c r="D639" s="30" t="str">
        <f>IF(C639&lt;&gt;"",VLOOKUP(C639,ENSEIGNES!$B$2:$D971,2,FALSE),"")</f>
        <v/>
      </c>
      <c r="E639" s="30" t="str">
        <f>IF(C639&lt;&gt;"",VLOOKUP(C639,ENSEIGNES!$B$2:$D971,3,FALSE),"")</f>
        <v/>
      </c>
      <c r="G639" s="115"/>
      <c r="H639" s="34">
        <f>IF(D639="Direct",PARAMETRES!$C$20,IF(D639="Centrale",PARAMETRES!$C$21,0))</f>
        <v>0</v>
      </c>
      <c r="I639" s="38">
        <f t="shared" si="2"/>
        <v>0</v>
      </c>
      <c r="J639" s="116"/>
      <c r="K639" s="116"/>
      <c r="L639" s="114"/>
    </row>
    <row r="640" ht="15.75" customHeight="1">
      <c r="C640" s="23"/>
      <c r="D640" s="30" t="str">
        <f>IF(C640&lt;&gt;"",VLOOKUP(C640,ENSEIGNES!$B$2:$D971,2,FALSE),"")</f>
        <v/>
      </c>
      <c r="E640" s="30" t="str">
        <f>IF(C640&lt;&gt;"",VLOOKUP(C640,ENSEIGNES!$B$2:$D971,3,FALSE),"")</f>
        <v/>
      </c>
      <c r="G640" s="115"/>
      <c r="H640" s="34">
        <f>IF(D640="Direct",PARAMETRES!$C$20,IF(D640="Centrale",PARAMETRES!$C$21,0))</f>
        <v>0</v>
      </c>
      <c r="I640" s="38">
        <f t="shared" si="2"/>
        <v>0</v>
      </c>
      <c r="J640" s="116"/>
      <c r="K640" s="116"/>
      <c r="L640" s="114"/>
    </row>
    <row r="641" ht="15.75" customHeight="1">
      <c r="C641" s="23"/>
      <c r="D641" s="30" t="str">
        <f>IF(C641&lt;&gt;"",VLOOKUP(C641,ENSEIGNES!$B$2:$D971,2,FALSE),"")</f>
        <v/>
      </c>
      <c r="E641" s="30" t="str">
        <f>IF(C641&lt;&gt;"",VLOOKUP(C641,ENSEIGNES!$B$2:$D971,3,FALSE),"")</f>
        <v/>
      </c>
      <c r="F641" s="31"/>
      <c r="G641" s="115"/>
      <c r="H641" s="34">
        <f>IF(D641="Direct",PARAMETRES!$C$20,IF(D641="Centrale",PARAMETRES!$C$21,0))</f>
        <v>0</v>
      </c>
      <c r="I641" s="38">
        <f t="shared" si="2"/>
        <v>0</v>
      </c>
      <c r="J641" s="116"/>
      <c r="K641" s="116"/>
      <c r="L641" s="114"/>
    </row>
    <row r="642" ht="15.75" customHeight="1">
      <c r="C642" s="23"/>
      <c r="D642" s="30" t="str">
        <f>IF(C642&lt;&gt;"",VLOOKUP(C642,ENSEIGNES!$B$2:$D971,2,FALSE),"")</f>
        <v/>
      </c>
      <c r="E642" s="30" t="str">
        <f>IF(C642&lt;&gt;"",VLOOKUP(C642,ENSEIGNES!$B$2:$D971,3,FALSE),"")</f>
        <v/>
      </c>
      <c r="G642" s="115"/>
      <c r="H642" s="34">
        <f>IF(D642="Direct",PARAMETRES!$C$20,IF(D642="Centrale",PARAMETRES!$C$21,0))</f>
        <v>0</v>
      </c>
      <c r="I642" s="38">
        <f t="shared" si="2"/>
        <v>0</v>
      </c>
      <c r="J642" s="116"/>
      <c r="K642" s="116"/>
      <c r="L642" s="114"/>
    </row>
    <row r="643" ht="15.75" customHeight="1">
      <c r="C643" s="23"/>
      <c r="D643" s="30" t="str">
        <f>IF(C643&lt;&gt;"",VLOOKUP(C643,ENSEIGNES!$B$2:$D971,2,FALSE),"")</f>
        <v/>
      </c>
      <c r="E643" s="30" t="str">
        <f>IF(C643&lt;&gt;"",VLOOKUP(C643,ENSEIGNES!$B$2:$D971,3,FALSE),"")</f>
        <v/>
      </c>
      <c r="G643" s="115"/>
      <c r="H643" s="34">
        <f>IF(D643="Direct",PARAMETRES!$C$20,IF(D643="Centrale",PARAMETRES!$C$21,0))</f>
        <v>0</v>
      </c>
      <c r="I643" s="38">
        <f t="shared" si="2"/>
        <v>0</v>
      </c>
      <c r="J643" s="116"/>
      <c r="K643" s="116"/>
      <c r="L643" s="114"/>
    </row>
    <row r="644" ht="15.75" customHeight="1">
      <c r="C644" s="23"/>
      <c r="D644" s="30" t="str">
        <f>IF(C644&lt;&gt;"",VLOOKUP(C644,ENSEIGNES!$B$2:$D971,2,FALSE),"")</f>
        <v/>
      </c>
      <c r="E644" s="30" t="str">
        <f>IF(C644&lt;&gt;"",VLOOKUP(C644,ENSEIGNES!$B$2:$D971,3,FALSE),"")</f>
        <v/>
      </c>
      <c r="F644" s="31"/>
      <c r="G644" s="115"/>
      <c r="H644" s="34">
        <f>IF(D644="Direct",PARAMETRES!$C$20,IF(D644="Centrale",PARAMETRES!$C$21,0))</f>
        <v>0</v>
      </c>
      <c r="I644" s="38">
        <f t="shared" si="2"/>
        <v>0</v>
      </c>
      <c r="J644" s="116"/>
      <c r="K644" s="116"/>
      <c r="L644" s="114"/>
    </row>
    <row r="645" ht="15.75" customHeight="1">
      <c r="C645" s="23"/>
      <c r="D645" s="30" t="str">
        <f>IF(C645&lt;&gt;"",VLOOKUP(C645,ENSEIGNES!$B$2:$D971,2,FALSE),"")</f>
        <v/>
      </c>
      <c r="E645" s="30" t="str">
        <f>IF(C645&lt;&gt;"",VLOOKUP(C645,ENSEIGNES!$B$2:$D971,3,FALSE),"")</f>
        <v/>
      </c>
      <c r="G645" s="115"/>
      <c r="H645" s="34">
        <f>IF(D645="Direct",PARAMETRES!$C$20,IF(D645="Centrale",PARAMETRES!$C$21,0))</f>
        <v>0</v>
      </c>
      <c r="I645" s="38">
        <f t="shared" si="2"/>
        <v>0</v>
      </c>
      <c r="J645" s="116"/>
      <c r="K645" s="116"/>
      <c r="L645" s="114"/>
    </row>
    <row r="646" ht="15.75" customHeight="1">
      <c r="C646" s="23"/>
      <c r="D646" s="30" t="str">
        <f>IF(C646&lt;&gt;"",VLOOKUP(C646,ENSEIGNES!$B$2:$D971,2,FALSE),"")</f>
        <v/>
      </c>
      <c r="E646" s="30" t="str">
        <f>IF(C646&lt;&gt;"",VLOOKUP(C646,ENSEIGNES!$B$2:$D971,3,FALSE),"")</f>
        <v/>
      </c>
      <c r="G646" s="115"/>
      <c r="H646" s="34">
        <f>IF(D646="Direct",PARAMETRES!$C$20,IF(D646="Centrale",PARAMETRES!$C$21,0))</f>
        <v>0</v>
      </c>
      <c r="I646" s="38">
        <f t="shared" si="2"/>
        <v>0</v>
      </c>
      <c r="J646" s="116"/>
      <c r="K646" s="116"/>
      <c r="L646" s="114"/>
    </row>
    <row r="647" ht="15.75" customHeight="1">
      <c r="C647" s="23"/>
      <c r="D647" s="30" t="str">
        <f>IF(C647&lt;&gt;"",VLOOKUP(C647,ENSEIGNES!$B$2:$D971,2,FALSE),"")</f>
        <v/>
      </c>
      <c r="E647" s="30" t="str">
        <f>IF(C647&lt;&gt;"",VLOOKUP(C647,ENSEIGNES!$B$2:$D971,3,FALSE),"")</f>
        <v/>
      </c>
      <c r="F647" s="31"/>
      <c r="G647" s="115"/>
      <c r="H647" s="34">
        <f>IF(D647="Direct",PARAMETRES!$C$20,IF(D647="Centrale",PARAMETRES!$C$21,0))</f>
        <v>0</v>
      </c>
      <c r="I647" s="38">
        <f t="shared" si="2"/>
        <v>0</v>
      </c>
      <c r="J647" s="116"/>
      <c r="K647" s="116"/>
      <c r="L647" s="114"/>
    </row>
    <row r="648" ht="15.75" customHeight="1">
      <c r="C648" s="23"/>
      <c r="D648" s="30" t="str">
        <f>IF(C648&lt;&gt;"",VLOOKUP(C648,ENSEIGNES!$B$2:$D971,2,FALSE),"")</f>
        <v/>
      </c>
      <c r="E648" s="30" t="str">
        <f>IF(C648&lt;&gt;"",VLOOKUP(C648,ENSEIGNES!$B$2:$D971,3,FALSE),"")</f>
        <v/>
      </c>
      <c r="G648" s="115"/>
      <c r="H648" s="34">
        <f>IF(D648="Direct",PARAMETRES!$C$20,IF(D648="Centrale",PARAMETRES!$C$21,0))</f>
        <v>0</v>
      </c>
      <c r="I648" s="38">
        <f t="shared" si="2"/>
        <v>0</v>
      </c>
      <c r="J648" s="116"/>
      <c r="K648" s="116"/>
      <c r="L648" s="114"/>
    </row>
    <row r="649" ht="15.75" customHeight="1">
      <c r="C649" s="23"/>
      <c r="D649" s="30" t="str">
        <f>IF(C649&lt;&gt;"",VLOOKUP(C649,ENSEIGNES!$B$2:$D971,2,FALSE),"")</f>
        <v/>
      </c>
      <c r="E649" s="30" t="str">
        <f>IF(C649&lt;&gt;"",VLOOKUP(C649,ENSEIGNES!$B$2:$D971,3,FALSE),"")</f>
        <v/>
      </c>
      <c r="G649" s="115"/>
      <c r="H649" s="34">
        <f>IF(D649="Direct",PARAMETRES!$C$20,IF(D649="Centrale",PARAMETRES!$C$21,0))</f>
        <v>0</v>
      </c>
      <c r="I649" s="38">
        <f t="shared" si="2"/>
        <v>0</v>
      </c>
      <c r="J649" s="116"/>
      <c r="K649" s="116"/>
      <c r="L649" s="114"/>
    </row>
    <row r="650" ht="15.75" customHeight="1">
      <c r="C650" s="23"/>
      <c r="D650" s="30" t="str">
        <f>IF(C650&lt;&gt;"",VLOOKUP(C650,ENSEIGNES!$B$2:$D971,2,FALSE),"")</f>
        <v/>
      </c>
      <c r="E650" s="30" t="str">
        <f>IF(C650&lt;&gt;"",VLOOKUP(C650,ENSEIGNES!$B$2:$D971,3,FALSE),"")</f>
        <v/>
      </c>
      <c r="F650" s="31"/>
      <c r="G650" s="115"/>
      <c r="H650" s="9"/>
      <c r="J650" s="116"/>
      <c r="K650" s="116"/>
      <c r="L650" s="114"/>
    </row>
    <row r="651" ht="15.75" customHeight="1">
      <c r="C651" s="23"/>
      <c r="D651" s="30" t="str">
        <f>IF(C651&lt;&gt;"",VLOOKUP(C651,ENSEIGNES!$B$2:$D971,2,FALSE),"")</f>
        <v/>
      </c>
      <c r="E651" s="30" t="str">
        <f>IF(C651&lt;&gt;"",VLOOKUP(C651,ENSEIGNES!$B$2:$D971,3,FALSE),"")</f>
        <v/>
      </c>
      <c r="G651" s="115"/>
      <c r="H651" s="9"/>
      <c r="J651" s="116"/>
      <c r="K651" s="116"/>
      <c r="L651" s="114"/>
    </row>
    <row r="652" ht="15.75" customHeight="1">
      <c r="C652" s="23"/>
      <c r="D652" s="30" t="str">
        <f>IF(C652&lt;&gt;"",VLOOKUP(C652,ENSEIGNES!$B$2:$D971,2,FALSE),"")</f>
        <v/>
      </c>
      <c r="E652" s="30" t="str">
        <f>IF(C652&lt;&gt;"",VLOOKUP(C652,ENSEIGNES!$B$2:$D971,3,FALSE),"")</f>
        <v/>
      </c>
      <c r="G652" s="115"/>
      <c r="H652" s="9"/>
      <c r="J652" s="116"/>
      <c r="K652" s="116"/>
      <c r="L652" s="114"/>
    </row>
    <row r="653" ht="15.75" customHeight="1">
      <c r="C653" s="23"/>
      <c r="D653" s="30" t="str">
        <f>IF(C653&lt;&gt;"",VLOOKUP(C653,ENSEIGNES!$B$2:$D971,2,FALSE),"")</f>
        <v/>
      </c>
      <c r="E653" s="30" t="str">
        <f>IF(C653&lt;&gt;"",VLOOKUP(C653,ENSEIGNES!$B$2:$D971,3,FALSE),"")</f>
        <v/>
      </c>
      <c r="F653" s="31"/>
      <c r="G653" s="115"/>
      <c r="H653" s="9"/>
      <c r="J653" s="116"/>
      <c r="K653" s="116"/>
      <c r="L653" s="114"/>
    </row>
    <row r="654" ht="15.75" customHeight="1">
      <c r="C654" s="23"/>
      <c r="D654" s="30" t="str">
        <f>IF(C654&lt;&gt;"",VLOOKUP(C654,ENSEIGNES!$B$2:$D971,2,FALSE),"")</f>
        <v/>
      </c>
      <c r="E654" s="30" t="str">
        <f>IF(C654&lt;&gt;"",VLOOKUP(C654,ENSEIGNES!$B$2:$D971,3,FALSE),"")</f>
        <v/>
      </c>
      <c r="G654" s="115"/>
      <c r="H654" s="9"/>
      <c r="J654" s="116"/>
      <c r="K654" s="116"/>
      <c r="L654" s="114"/>
    </row>
    <row r="655" ht="15.75" customHeight="1">
      <c r="C655" s="23"/>
      <c r="D655" s="30" t="str">
        <f>IF(C655&lt;&gt;"",VLOOKUP(C655,ENSEIGNES!$B$2:$D971,2,FALSE),"")</f>
        <v/>
      </c>
      <c r="E655" s="30" t="str">
        <f>IF(C655&lt;&gt;"",VLOOKUP(C655,ENSEIGNES!$B$2:$D971,3,FALSE),"")</f>
        <v/>
      </c>
      <c r="G655" s="115"/>
      <c r="H655" s="9"/>
      <c r="J655" s="116"/>
      <c r="K655" s="116"/>
      <c r="L655" s="114"/>
    </row>
    <row r="656" ht="15.75" customHeight="1">
      <c r="C656" s="23"/>
      <c r="D656" s="30" t="str">
        <f>IF(C656&lt;&gt;"",VLOOKUP(C656,ENSEIGNES!$B$2:$D971,2,FALSE),"")</f>
        <v/>
      </c>
      <c r="E656" s="30" t="str">
        <f>IF(C656&lt;&gt;"",VLOOKUP(C656,ENSEIGNES!$B$2:$D971,3,FALSE),"")</f>
        <v/>
      </c>
      <c r="F656" s="31"/>
      <c r="G656" s="115"/>
      <c r="H656" s="9"/>
      <c r="J656" s="116"/>
      <c r="K656" s="116"/>
      <c r="L656" s="114"/>
    </row>
    <row r="657" ht="15.75" customHeight="1">
      <c r="C657" s="23"/>
      <c r="D657" s="30" t="str">
        <f>IF(C657&lt;&gt;"",VLOOKUP(C657,ENSEIGNES!$B$2:$D971,2,FALSE),"")</f>
        <v/>
      </c>
      <c r="E657" s="30" t="str">
        <f>IF(C657&lt;&gt;"",VLOOKUP(C657,ENSEIGNES!$B$2:$D971,3,FALSE),"")</f>
        <v/>
      </c>
      <c r="G657" s="115"/>
      <c r="H657" s="9"/>
      <c r="J657" s="116"/>
      <c r="K657" s="116"/>
      <c r="L657" s="114"/>
    </row>
    <row r="658" ht="15.75" customHeight="1">
      <c r="C658" s="23"/>
      <c r="D658" s="30" t="str">
        <f>IF(C658&lt;&gt;"",VLOOKUP(C658,ENSEIGNES!$B$2:$D971,2,FALSE),"")</f>
        <v/>
      </c>
      <c r="E658" s="30" t="str">
        <f>IF(C658&lt;&gt;"",VLOOKUP(C658,ENSEIGNES!$B$2:$D971,3,FALSE),"")</f>
        <v/>
      </c>
      <c r="G658" s="115"/>
      <c r="H658" s="9"/>
      <c r="J658" s="116"/>
      <c r="K658" s="116"/>
      <c r="L658" s="114"/>
    </row>
    <row r="659" ht="15.75" customHeight="1">
      <c r="C659" s="23"/>
      <c r="D659" s="30" t="str">
        <f>IF(C659&lt;&gt;"",VLOOKUP(C659,ENSEIGNES!$B$2:$D971,2,FALSE),"")</f>
        <v/>
      </c>
      <c r="E659" s="30" t="str">
        <f>IF(C659&lt;&gt;"",VLOOKUP(C659,ENSEIGNES!$B$2:$D971,3,FALSE),"")</f>
        <v/>
      </c>
      <c r="F659" s="31"/>
      <c r="G659" s="115"/>
      <c r="H659" s="9"/>
      <c r="J659" s="116"/>
      <c r="K659" s="116"/>
      <c r="L659" s="114"/>
    </row>
    <row r="660" ht="15.75" customHeight="1">
      <c r="C660" s="23"/>
      <c r="D660" s="30" t="str">
        <f>IF(C660&lt;&gt;"",VLOOKUP(C660,ENSEIGNES!$B$2:$D971,2,FALSE),"")</f>
        <v/>
      </c>
      <c r="E660" s="30" t="str">
        <f>IF(C660&lt;&gt;"",VLOOKUP(C660,ENSEIGNES!$B$2:$D971,3,FALSE),"")</f>
        <v/>
      </c>
      <c r="G660" s="115"/>
      <c r="H660" s="9"/>
      <c r="J660" s="116"/>
      <c r="K660" s="116"/>
      <c r="L660" s="114"/>
    </row>
    <row r="661" ht="15.75" customHeight="1">
      <c r="C661" s="23"/>
      <c r="D661" s="30" t="str">
        <f>IF(C661&lt;&gt;"",VLOOKUP(C661,ENSEIGNES!$B$2:$D971,2,FALSE),"")</f>
        <v/>
      </c>
      <c r="E661" s="30" t="str">
        <f>IF(C661&lt;&gt;"",VLOOKUP(C661,ENSEIGNES!$B$2:$D971,3,FALSE),"")</f>
        <v/>
      </c>
      <c r="G661" s="115"/>
      <c r="H661" s="9"/>
      <c r="J661" s="116"/>
      <c r="K661" s="116"/>
      <c r="L661" s="114"/>
    </row>
    <row r="662" ht="15.75" customHeight="1">
      <c r="C662" s="23"/>
      <c r="D662" s="30" t="str">
        <f>IF(C662&lt;&gt;"",VLOOKUP(C662,ENSEIGNES!$B$2:$D971,2,FALSE),"")</f>
        <v/>
      </c>
      <c r="E662" s="30" t="str">
        <f>IF(C662&lt;&gt;"",VLOOKUP(C662,ENSEIGNES!$B$2:$D971,3,FALSE),"")</f>
        <v/>
      </c>
      <c r="F662" s="31"/>
      <c r="G662" s="115"/>
      <c r="H662" s="9"/>
      <c r="J662" s="116"/>
      <c r="K662" s="116"/>
      <c r="L662" s="114"/>
    </row>
    <row r="663" ht="15.75" customHeight="1">
      <c r="C663" s="23"/>
      <c r="D663" s="30" t="str">
        <f>IF(C663&lt;&gt;"",VLOOKUP(C663,ENSEIGNES!$B$2:$D971,2,FALSE),"")</f>
        <v/>
      </c>
      <c r="E663" s="30" t="str">
        <f>IF(C663&lt;&gt;"",VLOOKUP(C663,ENSEIGNES!$B$2:$D971,3,FALSE),"")</f>
        <v/>
      </c>
      <c r="G663" s="115"/>
      <c r="H663" s="9"/>
      <c r="J663" s="116"/>
      <c r="K663" s="116"/>
      <c r="L663" s="114"/>
    </row>
    <row r="664" ht="15.75" customHeight="1">
      <c r="C664" s="23"/>
      <c r="D664" s="30" t="str">
        <f>IF(C664&lt;&gt;"",VLOOKUP(C664,ENSEIGNES!$B$2:$D971,2,FALSE),"")</f>
        <v/>
      </c>
      <c r="E664" s="30" t="str">
        <f>IF(C664&lt;&gt;"",VLOOKUP(C664,ENSEIGNES!$B$2:$D971,3,FALSE),"")</f>
        <v/>
      </c>
      <c r="G664" s="115"/>
      <c r="H664" s="9"/>
      <c r="J664" s="116"/>
      <c r="K664" s="116"/>
      <c r="L664" s="114"/>
    </row>
    <row r="665" ht="15.75" customHeight="1">
      <c r="C665" s="23"/>
      <c r="D665" s="30" t="str">
        <f>IF(C665&lt;&gt;"",VLOOKUP(C665,ENSEIGNES!$B$2:$D971,2,FALSE),"")</f>
        <v/>
      </c>
      <c r="E665" s="30" t="str">
        <f>IF(C665&lt;&gt;"",VLOOKUP(C665,ENSEIGNES!$B$2:$D971,3,FALSE),"")</f>
        <v/>
      </c>
      <c r="F665" s="31"/>
      <c r="G665" s="115"/>
      <c r="H665" s="9"/>
      <c r="J665" s="116"/>
      <c r="K665" s="116"/>
      <c r="L665" s="114"/>
    </row>
    <row r="666" ht="15.75" customHeight="1">
      <c r="C666" s="23"/>
      <c r="D666" s="30" t="str">
        <f>IF(C666&lt;&gt;"",VLOOKUP(C666,ENSEIGNES!$B$2:$D971,2,FALSE),"")</f>
        <v/>
      </c>
      <c r="E666" s="30" t="str">
        <f>IF(C666&lt;&gt;"",VLOOKUP(C666,ENSEIGNES!$B$2:$D971,3,FALSE),"")</f>
        <v/>
      </c>
      <c r="G666" s="115"/>
      <c r="H666" s="9"/>
      <c r="J666" s="116"/>
      <c r="K666" s="116"/>
      <c r="L666" s="114"/>
    </row>
    <row r="667" ht="15.75" customHeight="1">
      <c r="C667" s="23"/>
      <c r="D667" s="30" t="str">
        <f>IF(C667&lt;&gt;"",VLOOKUP(C667,ENSEIGNES!$B$2:$D971,2,FALSE),"")</f>
        <v/>
      </c>
      <c r="E667" s="30" t="str">
        <f>IF(C667&lt;&gt;"",VLOOKUP(C667,ENSEIGNES!$B$2:$D971,3,FALSE),"")</f>
        <v/>
      </c>
      <c r="G667" s="115"/>
      <c r="H667" s="9"/>
      <c r="J667" s="116"/>
      <c r="K667" s="116"/>
      <c r="L667" s="114"/>
    </row>
    <row r="668" ht="15.75" customHeight="1">
      <c r="C668" s="23"/>
      <c r="D668" s="30" t="str">
        <f>IF(C668&lt;&gt;"",VLOOKUP(C668,ENSEIGNES!$B$2:$D971,2,FALSE),"")</f>
        <v/>
      </c>
      <c r="E668" s="30" t="str">
        <f>IF(C668&lt;&gt;"",VLOOKUP(C668,ENSEIGNES!$B$2:$D971,3,FALSE),"")</f>
        <v/>
      </c>
      <c r="F668" s="31"/>
      <c r="G668" s="115"/>
      <c r="H668" s="9"/>
      <c r="J668" s="116"/>
      <c r="K668" s="116"/>
      <c r="L668" s="114"/>
    </row>
    <row r="669" ht="15.75" customHeight="1">
      <c r="C669" s="23"/>
      <c r="D669" s="30" t="str">
        <f>IF(C669&lt;&gt;"",VLOOKUP(C669,ENSEIGNES!$B$2:$D971,2,FALSE),"")</f>
        <v/>
      </c>
      <c r="E669" s="30" t="str">
        <f>IF(C669&lt;&gt;"",VLOOKUP(C669,ENSEIGNES!$B$2:$D971,3,FALSE),"")</f>
        <v/>
      </c>
      <c r="G669" s="115"/>
      <c r="H669" s="9"/>
      <c r="J669" s="116"/>
      <c r="K669" s="116"/>
      <c r="L669" s="114"/>
    </row>
    <row r="670" ht="15.75" customHeight="1">
      <c r="C670" s="23"/>
      <c r="D670" s="30" t="str">
        <f>IF(C670&lt;&gt;"",VLOOKUP(C670,ENSEIGNES!$B$2:$D971,2,FALSE),"")</f>
        <v/>
      </c>
      <c r="E670" s="30" t="str">
        <f>IF(C670&lt;&gt;"",VLOOKUP(C670,ENSEIGNES!$B$2:$D971,3,FALSE),"")</f>
        <v/>
      </c>
      <c r="G670" s="115"/>
      <c r="H670" s="9"/>
      <c r="J670" s="116"/>
      <c r="K670" s="116"/>
      <c r="L670" s="114"/>
    </row>
    <row r="671" ht="15.75" customHeight="1">
      <c r="C671" s="23"/>
      <c r="D671" s="30" t="str">
        <f>IF(C671&lt;&gt;"",VLOOKUP(C671,ENSEIGNES!$B$2:$D971,2,FALSE),"")</f>
        <v/>
      </c>
      <c r="E671" s="30" t="str">
        <f>IF(C671&lt;&gt;"",VLOOKUP(C671,ENSEIGNES!$B$2:$D971,3,FALSE),"")</f>
        <v/>
      </c>
      <c r="F671" s="31"/>
      <c r="G671" s="115"/>
      <c r="H671" s="9"/>
      <c r="J671" s="116"/>
      <c r="K671" s="116"/>
      <c r="L671" s="114"/>
    </row>
    <row r="672" ht="15.75" customHeight="1">
      <c r="C672" s="23"/>
      <c r="D672" s="30" t="str">
        <f>IF(C672&lt;&gt;"",VLOOKUP(C672,ENSEIGNES!$B$2:$D971,2,FALSE),"")</f>
        <v/>
      </c>
      <c r="E672" s="30" t="str">
        <f>IF(C672&lt;&gt;"",VLOOKUP(C672,ENSEIGNES!$B$2:$D971,3,FALSE),"")</f>
        <v/>
      </c>
      <c r="G672" s="115"/>
      <c r="H672" s="9"/>
      <c r="J672" s="116"/>
      <c r="K672" s="116"/>
      <c r="L672" s="114"/>
    </row>
    <row r="673" ht="15.75" customHeight="1">
      <c r="C673" s="23"/>
      <c r="D673" s="30" t="str">
        <f>IF(C673&lt;&gt;"",VLOOKUP(C673,ENSEIGNES!$B$2:$D971,2,FALSE),"")</f>
        <v/>
      </c>
      <c r="E673" s="30" t="str">
        <f>IF(C673&lt;&gt;"",VLOOKUP(C673,ENSEIGNES!$B$2:$D971,3,FALSE),"")</f>
        <v/>
      </c>
      <c r="G673" s="115"/>
      <c r="H673" s="9"/>
      <c r="J673" s="116"/>
      <c r="K673" s="116"/>
      <c r="L673" s="114"/>
    </row>
    <row r="674" ht="15.75" customHeight="1">
      <c r="C674" s="23"/>
      <c r="D674" s="30" t="str">
        <f>IF(C674&lt;&gt;"",VLOOKUP(C674,ENSEIGNES!$B$2:$D971,2,FALSE),"")</f>
        <v/>
      </c>
      <c r="E674" s="30" t="str">
        <f>IF(C674&lt;&gt;"",VLOOKUP(C674,ENSEIGNES!$B$2:$D971,3,FALSE),"")</f>
        <v/>
      </c>
      <c r="F674" s="31"/>
      <c r="G674" s="115"/>
      <c r="H674" s="9"/>
      <c r="J674" s="116"/>
      <c r="K674" s="116"/>
      <c r="L674" s="114"/>
    </row>
    <row r="675" ht="15.75" customHeight="1">
      <c r="C675" s="23"/>
      <c r="D675" s="30" t="str">
        <f>IF(C675&lt;&gt;"",VLOOKUP(C675,ENSEIGNES!$B$2:$D971,2,FALSE),"")</f>
        <v/>
      </c>
      <c r="E675" s="30" t="str">
        <f>IF(C675&lt;&gt;"",VLOOKUP(C675,ENSEIGNES!$B$2:$D971,3,FALSE),"")</f>
        <v/>
      </c>
      <c r="G675" s="115"/>
      <c r="H675" s="9"/>
      <c r="J675" s="116"/>
      <c r="K675" s="116"/>
      <c r="L675" s="114"/>
    </row>
    <row r="676" ht="15.75" customHeight="1">
      <c r="C676" s="23"/>
      <c r="D676" s="30" t="str">
        <f>IF(C676&lt;&gt;"",VLOOKUP(C676,ENSEIGNES!$B$2:$D971,2,FALSE),"")</f>
        <v/>
      </c>
      <c r="E676" s="30" t="str">
        <f>IF(C676&lt;&gt;"",VLOOKUP(C676,ENSEIGNES!$B$2:$D971,3,FALSE),"")</f>
        <v/>
      </c>
      <c r="G676" s="115"/>
      <c r="H676" s="9"/>
      <c r="J676" s="116"/>
      <c r="K676" s="116"/>
      <c r="L676" s="114"/>
    </row>
    <row r="677" ht="15.75" customHeight="1">
      <c r="C677" s="23"/>
      <c r="D677" s="30" t="str">
        <f>IF(C677&lt;&gt;"",VLOOKUP(C677,ENSEIGNES!$B$2:$D971,2,FALSE),"")</f>
        <v/>
      </c>
      <c r="E677" s="30" t="str">
        <f>IF(C677&lt;&gt;"",VLOOKUP(C677,ENSEIGNES!$B$2:$D971,3,FALSE),"")</f>
        <v/>
      </c>
      <c r="F677" s="31"/>
      <c r="G677" s="115"/>
      <c r="H677" s="9"/>
      <c r="J677" s="116"/>
      <c r="K677" s="116"/>
      <c r="L677" s="114"/>
    </row>
    <row r="678" ht="15.75" customHeight="1">
      <c r="C678" s="23"/>
      <c r="D678" s="30" t="str">
        <f>IF(C678&lt;&gt;"",VLOOKUP(C678,ENSEIGNES!$B$2:$D971,2,FALSE),"")</f>
        <v/>
      </c>
      <c r="E678" s="30" t="str">
        <f>IF(C678&lt;&gt;"",VLOOKUP(C678,ENSEIGNES!$B$2:$D971,3,FALSE),"")</f>
        <v/>
      </c>
      <c r="G678" s="115"/>
      <c r="H678" s="9"/>
      <c r="J678" s="116"/>
      <c r="K678" s="116"/>
      <c r="L678" s="114"/>
    </row>
    <row r="679" ht="15.75" customHeight="1">
      <c r="C679" s="23"/>
      <c r="D679" s="30" t="str">
        <f>IF(C679&lt;&gt;"",VLOOKUP(C679,ENSEIGNES!$B$2:$D971,2,FALSE),"")</f>
        <v/>
      </c>
      <c r="E679" s="30" t="str">
        <f>IF(C679&lt;&gt;"",VLOOKUP(C679,ENSEIGNES!$B$2:$D971,3,FALSE),"")</f>
        <v/>
      </c>
      <c r="G679" s="115"/>
      <c r="H679" s="9"/>
      <c r="J679" s="116"/>
      <c r="K679" s="116"/>
      <c r="L679" s="114"/>
    </row>
    <row r="680" ht="15.75" customHeight="1">
      <c r="C680" s="23"/>
      <c r="D680" s="30" t="str">
        <f>IF(C680&lt;&gt;"",VLOOKUP(C680,ENSEIGNES!$B$2:$D971,2,FALSE),"")</f>
        <v/>
      </c>
      <c r="E680" s="30" t="str">
        <f>IF(C680&lt;&gt;"",VLOOKUP(C680,ENSEIGNES!$B$2:$D971,3,FALSE),"")</f>
        <v/>
      </c>
      <c r="F680" s="31"/>
      <c r="G680" s="115"/>
      <c r="H680" s="9"/>
      <c r="J680" s="116"/>
      <c r="K680" s="116"/>
      <c r="L680" s="114"/>
    </row>
    <row r="681" ht="15.75" customHeight="1">
      <c r="C681" s="23"/>
      <c r="D681" s="30" t="str">
        <f>IF(C681&lt;&gt;"",VLOOKUP(C681,ENSEIGNES!$B$2:$D971,2,FALSE),"")</f>
        <v/>
      </c>
      <c r="E681" s="30" t="str">
        <f>IF(C681&lt;&gt;"",VLOOKUP(C681,ENSEIGNES!$B$2:$D971,3,FALSE),"")</f>
        <v/>
      </c>
      <c r="G681" s="115"/>
      <c r="H681" s="9"/>
      <c r="J681" s="116"/>
      <c r="K681" s="116"/>
      <c r="L681" s="114"/>
    </row>
    <row r="682" ht="15.75" customHeight="1">
      <c r="C682" s="23"/>
      <c r="D682" s="30" t="str">
        <f>IF(C682&lt;&gt;"",VLOOKUP(C682,ENSEIGNES!$B$2:$D971,2,FALSE),"")</f>
        <v/>
      </c>
      <c r="E682" s="30" t="str">
        <f>IF(C682&lt;&gt;"",VLOOKUP(C682,ENSEIGNES!$B$2:$D971,3,FALSE),"")</f>
        <v/>
      </c>
      <c r="G682" s="115"/>
      <c r="H682" s="9"/>
      <c r="J682" s="116"/>
      <c r="K682" s="116"/>
      <c r="L682" s="114"/>
    </row>
    <row r="683" ht="15.75" customHeight="1">
      <c r="C683" s="23"/>
      <c r="D683" s="30" t="str">
        <f>IF(C683&lt;&gt;"",VLOOKUP(C683,ENSEIGNES!$B$2:$D971,2,FALSE),"")</f>
        <v/>
      </c>
      <c r="E683" s="30" t="str">
        <f>IF(C683&lt;&gt;"",VLOOKUP(C683,ENSEIGNES!$B$2:$D971,3,FALSE),"")</f>
        <v/>
      </c>
      <c r="F683" s="31"/>
      <c r="G683" s="115"/>
      <c r="H683" s="9"/>
      <c r="J683" s="116"/>
      <c r="K683" s="116"/>
      <c r="L683" s="114"/>
    </row>
    <row r="684" ht="15.75" customHeight="1">
      <c r="C684" s="23"/>
      <c r="D684" s="30" t="str">
        <f>IF(C684&lt;&gt;"",VLOOKUP(C684,ENSEIGNES!$B$2:$D971,2,FALSE),"")</f>
        <v/>
      </c>
      <c r="E684" s="30" t="str">
        <f>IF(C684&lt;&gt;"",VLOOKUP(C684,ENSEIGNES!$B$2:$D971,3,FALSE),"")</f>
        <v/>
      </c>
      <c r="G684" s="115"/>
      <c r="H684" s="9"/>
      <c r="J684" s="116"/>
      <c r="K684" s="116"/>
      <c r="L684" s="114"/>
    </row>
    <row r="685" ht="15.75" customHeight="1">
      <c r="C685" s="23"/>
      <c r="D685" s="30" t="str">
        <f>IF(C685&lt;&gt;"",VLOOKUP(C685,ENSEIGNES!$B$2:$D971,2,FALSE),"")</f>
        <v/>
      </c>
      <c r="E685" s="30" t="str">
        <f>IF(C685&lt;&gt;"",VLOOKUP(C685,ENSEIGNES!$B$2:$D971,3,FALSE),"")</f>
        <v/>
      </c>
      <c r="G685" s="115"/>
      <c r="H685" s="9"/>
      <c r="J685" s="116"/>
      <c r="K685" s="116"/>
      <c r="L685" s="114"/>
    </row>
    <row r="686" ht="15.75" customHeight="1">
      <c r="C686" s="23"/>
      <c r="D686" s="30" t="str">
        <f>IF(C686&lt;&gt;"",VLOOKUP(C686,ENSEIGNES!$B$2:$D971,2,FALSE),"")</f>
        <v/>
      </c>
      <c r="E686" s="30" t="str">
        <f>IF(C686&lt;&gt;"",VLOOKUP(C686,ENSEIGNES!$B$2:$D971,3,FALSE),"")</f>
        <v/>
      </c>
      <c r="F686" s="31"/>
      <c r="G686" s="115"/>
      <c r="H686" s="9"/>
      <c r="J686" s="116"/>
      <c r="K686" s="116"/>
      <c r="L686" s="114"/>
    </row>
    <row r="687" ht="15.75" customHeight="1">
      <c r="C687" s="23"/>
      <c r="D687" s="30" t="str">
        <f>IF(C687&lt;&gt;"",VLOOKUP(C687,ENSEIGNES!$B$2:$D971,2,FALSE),"")</f>
        <v/>
      </c>
      <c r="E687" s="30" t="str">
        <f>IF(C687&lt;&gt;"",VLOOKUP(C687,ENSEIGNES!$B$2:$D971,3,FALSE),"")</f>
        <v/>
      </c>
      <c r="G687" s="115"/>
      <c r="H687" s="9"/>
      <c r="J687" s="116"/>
      <c r="K687" s="116"/>
      <c r="L687" s="114"/>
    </row>
    <row r="688" ht="15.75" customHeight="1">
      <c r="C688" s="23"/>
      <c r="D688" s="30" t="str">
        <f>IF(C688&lt;&gt;"",VLOOKUP(C688,ENSEIGNES!$B$2:$D971,2,FALSE),"")</f>
        <v/>
      </c>
      <c r="E688" s="30" t="str">
        <f>IF(C688&lt;&gt;"",VLOOKUP(C688,ENSEIGNES!$B$2:$D971,3,FALSE),"")</f>
        <v/>
      </c>
      <c r="G688" s="115"/>
      <c r="H688" s="9"/>
      <c r="J688" s="116"/>
      <c r="K688" s="116"/>
      <c r="L688" s="114"/>
    </row>
    <row r="689" ht="15.75" customHeight="1">
      <c r="C689" s="23"/>
      <c r="D689" s="30" t="str">
        <f>IF(C689&lt;&gt;"",VLOOKUP(C689,ENSEIGNES!$B$2:$D971,2,FALSE),"")</f>
        <v/>
      </c>
      <c r="E689" s="30" t="str">
        <f>IF(C689&lt;&gt;"",VLOOKUP(C689,ENSEIGNES!$B$2:$D971,3,FALSE),"")</f>
        <v/>
      </c>
      <c r="F689" s="31"/>
      <c r="G689" s="115"/>
      <c r="H689" s="9"/>
      <c r="J689" s="116"/>
      <c r="K689" s="116"/>
      <c r="L689" s="114"/>
    </row>
    <row r="690" ht="15.75" customHeight="1">
      <c r="C690" s="23"/>
      <c r="D690" s="30" t="str">
        <f>IF(C690&lt;&gt;"",VLOOKUP(C690,ENSEIGNES!$B$2:$D971,2,FALSE),"")</f>
        <v/>
      </c>
      <c r="E690" s="30" t="str">
        <f>IF(C690&lt;&gt;"",VLOOKUP(C690,ENSEIGNES!$B$2:$D971,3,FALSE),"")</f>
        <v/>
      </c>
      <c r="G690" s="115"/>
      <c r="H690" s="9"/>
      <c r="J690" s="116"/>
      <c r="K690" s="116"/>
      <c r="L690" s="114"/>
    </row>
    <row r="691" ht="15.75" customHeight="1">
      <c r="C691" s="23"/>
      <c r="D691" s="30" t="str">
        <f>IF(C691&lt;&gt;"",VLOOKUP(C691,ENSEIGNES!$B$2:$D971,2,FALSE),"")</f>
        <v/>
      </c>
      <c r="E691" s="30" t="str">
        <f>IF(C691&lt;&gt;"",VLOOKUP(C691,ENSEIGNES!$B$2:$D971,3,FALSE),"")</f>
        <v/>
      </c>
      <c r="G691" s="115"/>
      <c r="H691" s="9"/>
      <c r="J691" s="116"/>
      <c r="K691" s="116"/>
      <c r="L691" s="114"/>
    </row>
    <row r="692" ht="15.75" customHeight="1">
      <c r="C692" s="23"/>
      <c r="D692" s="30" t="str">
        <f>IF(C692&lt;&gt;"",VLOOKUP(C692,ENSEIGNES!$B$2:$D971,2,FALSE),"")</f>
        <v/>
      </c>
      <c r="E692" s="30" t="str">
        <f>IF(C692&lt;&gt;"",VLOOKUP(C692,ENSEIGNES!$B$2:$D971,3,FALSE),"")</f>
        <v/>
      </c>
      <c r="F692" s="31"/>
      <c r="G692" s="115"/>
      <c r="H692" s="9"/>
      <c r="J692" s="116"/>
      <c r="K692" s="116"/>
      <c r="L692" s="114"/>
    </row>
    <row r="693" ht="15.75" customHeight="1">
      <c r="C693" s="23"/>
      <c r="D693" s="30" t="str">
        <f>IF(C693&lt;&gt;"",VLOOKUP(C693,ENSEIGNES!$B$2:$D971,2,FALSE),"")</f>
        <v/>
      </c>
      <c r="E693" s="30" t="str">
        <f>IF(C693&lt;&gt;"",VLOOKUP(C693,ENSEIGNES!$B$2:$D971,3,FALSE),"")</f>
        <v/>
      </c>
      <c r="G693" s="115"/>
      <c r="H693" s="9"/>
      <c r="J693" s="116"/>
      <c r="K693" s="116"/>
      <c r="L693" s="114"/>
    </row>
    <row r="694" ht="15.75" customHeight="1">
      <c r="C694" s="23"/>
      <c r="D694" s="30" t="str">
        <f>IF(C694&lt;&gt;"",VLOOKUP(C694,ENSEIGNES!$B$2:$D971,2,FALSE),"")</f>
        <v/>
      </c>
      <c r="E694" s="30" t="str">
        <f>IF(C694&lt;&gt;"",VLOOKUP(C694,ENSEIGNES!$B$2:$D971,3,FALSE),"")</f>
        <v/>
      </c>
      <c r="G694" s="115"/>
      <c r="H694" s="9"/>
      <c r="J694" s="116"/>
      <c r="K694" s="116"/>
      <c r="L694" s="114"/>
    </row>
    <row r="695" ht="15.75" customHeight="1">
      <c r="C695" s="23"/>
      <c r="D695" s="30" t="str">
        <f>IF(C695&lt;&gt;"",VLOOKUP(C695,ENSEIGNES!$B$2:$D971,2,FALSE),"")</f>
        <v/>
      </c>
      <c r="E695" s="30" t="str">
        <f>IF(C695&lt;&gt;"",VLOOKUP(C695,ENSEIGNES!$B$2:$D971,3,FALSE),"")</f>
        <v/>
      </c>
      <c r="F695" s="31"/>
      <c r="G695" s="115"/>
      <c r="H695" s="9"/>
      <c r="J695" s="116"/>
      <c r="K695" s="116"/>
      <c r="L695" s="114"/>
    </row>
    <row r="696" ht="15.75" customHeight="1">
      <c r="C696" s="23"/>
      <c r="D696" s="30" t="str">
        <f>IF(C696&lt;&gt;"",VLOOKUP(C696,ENSEIGNES!$B$2:$D971,2,FALSE),"")</f>
        <v/>
      </c>
      <c r="E696" s="30" t="str">
        <f>IF(C696&lt;&gt;"",VLOOKUP(C696,ENSEIGNES!$B$2:$D971,3,FALSE),"")</f>
        <v/>
      </c>
      <c r="G696" s="115"/>
      <c r="H696" s="9"/>
      <c r="J696" s="116"/>
      <c r="K696" s="116"/>
      <c r="L696" s="114"/>
    </row>
    <row r="697" ht="15.75" customHeight="1">
      <c r="C697" s="23"/>
      <c r="D697" s="30" t="str">
        <f>IF(C697&lt;&gt;"",VLOOKUP(C697,ENSEIGNES!$B$2:$D971,2,FALSE),"")</f>
        <v/>
      </c>
      <c r="E697" s="30" t="str">
        <f>IF(C697&lt;&gt;"",VLOOKUP(C697,ENSEIGNES!$B$2:$D971,3,FALSE),"")</f>
        <v/>
      </c>
      <c r="G697" s="115"/>
      <c r="H697" s="9"/>
      <c r="J697" s="116"/>
      <c r="K697" s="116"/>
      <c r="L697" s="114"/>
    </row>
    <row r="698" ht="15.75" customHeight="1">
      <c r="C698" s="23"/>
      <c r="D698" s="30" t="str">
        <f>IF(C698&lt;&gt;"",VLOOKUP(C698,ENSEIGNES!$B$2:$D971,2,FALSE),"")</f>
        <v/>
      </c>
      <c r="E698" s="30" t="str">
        <f>IF(C698&lt;&gt;"",VLOOKUP(C698,ENSEIGNES!$B$2:$D971,3,FALSE),"")</f>
        <v/>
      </c>
      <c r="F698" s="31"/>
      <c r="G698" s="115"/>
      <c r="H698" s="9"/>
      <c r="J698" s="116"/>
      <c r="K698" s="116"/>
      <c r="L698" s="114"/>
    </row>
    <row r="699" ht="15.75" customHeight="1">
      <c r="C699" s="23"/>
      <c r="D699" s="30" t="str">
        <f>IF(C699&lt;&gt;"",VLOOKUP(C699,ENSEIGNES!$B$2:$D971,2,FALSE),"")</f>
        <v/>
      </c>
      <c r="E699" s="30" t="str">
        <f>IF(C699&lt;&gt;"",VLOOKUP(C699,ENSEIGNES!$B$2:$D971,3,FALSE),"")</f>
        <v/>
      </c>
      <c r="G699" s="115"/>
      <c r="H699" s="9"/>
      <c r="J699" s="116"/>
      <c r="K699" s="116"/>
      <c r="L699" s="114"/>
    </row>
    <row r="700" ht="15.75" customHeight="1">
      <c r="C700" s="23"/>
      <c r="D700" s="30" t="str">
        <f>IF(C700&lt;&gt;"",VLOOKUP(C700,ENSEIGNES!$B$2:$D971,2,FALSE),"")</f>
        <v/>
      </c>
      <c r="E700" s="30" t="str">
        <f>IF(C700&lt;&gt;"",VLOOKUP(C700,ENSEIGNES!$B$2:$D971,3,FALSE),"")</f>
        <v/>
      </c>
      <c r="G700" s="115"/>
      <c r="H700" s="9"/>
      <c r="J700" s="116"/>
      <c r="K700" s="116"/>
      <c r="L700" s="114"/>
    </row>
    <row r="701" ht="15.75" customHeight="1">
      <c r="C701" s="23"/>
      <c r="D701" s="30" t="str">
        <f>IF(C701&lt;&gt;"",VLOOKUP(C701,ENSEIGNES!$B$2:$D971,2,FALSE),"")</f>
        <v/>
      </c>
      <c r="E701" s="30" t="str">
        <f>IF(C701&lt;&gt;"",VLOOKUP(C701,ENSEIGNES!$B$2:$D971,3,FALSE),"")</f>
        <v/>
      </c>
      <c r="F701" s="31"/>
      <c r="G701" s="115"/>
      <c r="H701" s="9"/>
      <c r="J701" s="116"/>
      <c r="K701" s="116"/>
      <c r="L701" s="114"/>
    </row>
    <row r="702" ht="15.75" customHeight="1">
      <c r="C702" s="23"/>
      <c r="D702" s="30" t="str">
        <f>IF(C702&lt;&gt;"",VLOOKUP(C702,ENSEIGNES!$B$2:$D971,2,FALSE),"")</f>
        <v/>
      </c>
      <c r="E702" s="30" t="str">
        <f>IF(C702&lt;&gt;"",VLOOKUP(C702,ENSEIGNES!$B$2:$D971,3,FALSE),"")</f>
        <v/>
      </c>
      <c r="G702" s="115"/>
      <c r="H702" s="9"/>
      <c r="J702" s="116"/>
      <c r="K702" s="116"/>
      <c r="L702" s="114"/>
    </row>
    <row r="703" ht="15.75" customHeight="1">
      <c r="C703" s="23"/>
      <c r="D703" s="30" t="str">
        <f>IF(C703&lt;&gt;"",VLOOKUP(C703,ENSEIGNES!$B$2:$D971,2,FALSE),"")</f>
        <v/>
      </c>
      <c r="E703" s="30" t="str">
        <f>IF(C703&lt;&gt;"",VLOOKUP(C703,ENSEIGNES!$B$2:$D971,3,FALSE),"")</f>
        <v/>
      </c>
      <c r="G703" s="115"/>
      <c r="H703" s="9"/>
      <c r="J703" s="116"/>
      <c r="K703" s="116"/>
      <c r="L703" s="114"/>
    </row>
    <row r="704" ht="15.75" customHeight="1">
      <c r="C704" s="23"/>
      <c r="D704" s="30" t="str">
        <f>IF(C704&lt;&gt;"",VLOOKUP(C704,ENSEIGNES!$B$2:$D971,2,FALSE),"")</f>
        <v/>
      </c>
      <c r="E704" s="30" t="str">
        <f>IF(C704&lt;&gt;"",VLOOKUP(C704,ENSEIGNES!$B$2:$D971,3,FALSE),"")</f>
        <v/>
      </c>
      <c r="F704" s="31"/>
      <c r="G704" s="115"/>
      <c r="H704" s="9"/>
      <c r="J704" s="116"/>
      <c r="K704" s="116"/>
      <c r="L704" s="114"/>
    </row>
    <row r="705" ht="15.75" customHeight="1">
      <c r="C705" s="23"/>
      <c r="D705" s="30" t="str">
        <f>IF(C705&lt;&gt;"",VLOOKUP(C705,ENSEIGNES!$B$2:$D971,2,FALSE),"")</f>
        <v/>
      </c>
      <c r="E705" s="30" t="str">
        <f>IF(C705&lt;&gt;"",VLOOKUP(C705,ENSEIGNES!$B$2:$D971,3,FALSE),"")</f>
        <v/>
      </c>
      <c r="G705" s="115"/>
      <c r="H705" s="9"/>
      <c r="J705" s="116"/>
      <c r="K705" s="116"/>
      <c r="L705" s="114"/>
    </row>
    <row r="706" ht="15.75" customHeight="1">
      <c r="D706" s="30" t="str">
        <f>IF(C706&lt;&gt;"",VLOOKUP(C706,ENSEIGNES!$B$2:$D971,2,FALSE),"")</f>
        <v/>
      </c>
      <c r="E706" s="30" t="str">
        <f>IF(C706&lt;&gt;"",VLOOKUP(C706,ENSEIGNES!$B$2:$D971,3,FALSE),"")</f>
        <v/>
      </c>
      <c r="G706" s="115"/>
      <c r="H706" s="9"/>
      <c r="J706" s="116"/>
      <c r="K706" s="116"/>
      <c r="L706" s="114"/>
    </row>
    <row r="707" ht="15.75" customHeight="1">
      <c r="D707" s="30" t="str">
        <f>IF(C707&lt;&gt;"",VLOOKUP(C707,ENSEIGNES!$B$2:$D971,2,FALSE),"")</f>
        <v/>
      </c>
      <c r="E707" s="30" t="str">
        <f>IF(C707&lt;&gt;"",VLOOKUP(C707,ENSEIGNES!$B$2:$D971,3,FALSE),"")</f>
        <v/>
      </c>
      <c r="F707" s="31"/>
      <c r="G707" s="115"/>
      <c r="H707" s="9"/>
      <c r="J707" s="116"/>
      <c r="K707" s="116"/>
      <c r="L707" s="114"/>
    </row>
    <row r="708" ht="15.75" customHeight="1">
      <c r="D708" s="30" t="str">
        <f>IF(C708&lt;&gt;"",VLOOKUP(C708,ENSEIGNES!$B$2:$D971,2,FALSE),"")</f>
        <v/>
      </c>
      <c r="E708" s="30" t="str">
        <f>IF(C708&lt;&gt;"",VLOOKUP(C708,ENSEIGNES!$B$2:$D971,3,FALSE),"")</f>
        <v/>
      </c>
      <c r="G708" s="115"/>
      <c r="H708" s="9"/>
      <c r="J708" s="116"/>
      <c r="K708" s="116"/>
      <c r="L708" s="114"/>
    </row>
    <row r="709" ht="15.75" customHeight="1">
      <c r="D709" s="30" t="str">
        <f>IF(C709&lt;&gt;"",VLOOKUP(C709,ENSEIGNES!$B$2:$D971,2,FALSE),"")</f>
        <v/>
      </c>
      <c r="E709" s="30" t="str">
        <f>IF(C709&lt;&gt;"",VLOOKUP(C709,ENSEIGNES!$B$2:$D971,3,FALSE),"")</f>
        <v/>
      </c>
      <c r="G709" s="115"/>
      <c r="H709" s="9"/>
      <c r="J709" s="116"/>
      <c r="K709" s="116"/>
      <c r="L709" s="114"/>
    </row>
    <row r="710" ht="15.75" customHeight="1">
      <c r="D710" s="30" t="str">
        <f>IF(C710&lt;&gt;"",VLOOKUP(C710,ENSEIGNES!$B$2:$D971,2,FALSE),"")</f>
        <v/>
      </c>
      <c r="E710" s="30" t="str">
        <f>IF(C710&lt;&gt;"",VLOOKUP(C710,ENSEIGNES!$B$2:$D971,3,FALSE),"")</f>
        <v/>
      </c>
      <c r="F710" s="31"/>
      <c r="G710" s="115"/>
      <c r="H710" s="9"/>
      <c r="J710" s="116"/>
      <c r="K710" s="116"/>
      <c r="L710" s="114"/>
    </row>
    <row r="711" ht="15.75" customHeight="1">
      <c r="D711" s="30" t="str">
        <f>IF(C711&lt;&gt;"",VLOOKUP(C711,ENSEIGNES!$B$2:$D971,2,FALSE),"")</f>
        <v/>
      </c>
      <c r="E711" s="30" t="str">
        <f>IF(C711&lt;&gt;"",VLOOKUP(C711,ENSEIGNES!$B$2:$D971,3,FALSE),"")</f>
        <v/>
      </c>
      <c r="G711" s="115"/>
      <c r="H711" s="9"/>
      <c r="J711" s="116"/>
      <c r="K711" s="116"/>
      <c r="L711" s="114"/>
    </row>
    <row r="712" ht="15.75" customHeight="1">
      <c r="D712" s="30" t="str">
        <f>IF(C712&lt;&gt;"",VLOOKUP(C712,ENSEIGNES!$B$2:$D971,2,FALSE),"")</f>
        <v/>
      </c>
      <c r="E712" s="30" t="str">
        <f>IF(C712&lt;&gt;"",VLOOKUP(C712,ENSEIGNES!$B$2:$D971,3,FALSE),"")</f>
        <v/>
      </c>
      <c r="G712" s="115"/>
      <c r="H712" s="9"/>
      <c r="J712" s="116"/>
      <c r="K712" s="116"/>
      <c r="L712" s="114"/>
    </row>
    <row r="713" ht="15.75" customHeight="1">
      <c r="D713" s="30" t="str">
        <f>IF(C713&lt;&gt;"",VLOOKUP(C713,ENSEIGNES!$B$2:$D971,2,FALSE),"")</f>
        <v/>
      </c>
      <c r="E713" s="30" t="str">
        <f>IF(C713&lt;&gt;"",VLOOKUP(C713,ENSEIGNES!$B$2:$D971,3,FALSE),"")</f>
        <v/>
      </c>
      <c r="F713" s="31"/>
      <c r="G713" s="115"/>
      <c r="H713" s="9"/>
      <c r="J713" s="116"/>
      <c r="K713" s="116"/>
      <c r="L713" s="114"/>
    </row>
    <row r="714" ht="15.75" customHeight="1">
      <c r="D714" s="30" t="str">
        <f>IF(C714&lt;&gt;"",VLOOKUP(C714,ENSEIGNES!$B$2:$D971,2,FALSE),"")</f>
        <v/>
      </c>
      <c r="E714" s="30" t="str">
        <f>IF(C714&lt;&gt;"",VLOOKUP(C714,ENSEIGNES!$B$2:$D971,3,FALSE),"")</f>
        <v/>
      </c>
      <c r="G714" s="115"/>
      <c r="H714" s="9"/>
      <c r="J714" s="116"/>
      <c r="K714" s="116"/>
      <c r="L714" s="114"/>
    </row>
    <row r="715" ht="15.75" customHeight="1">
      <c r="D715" s="128"/>
      <c r="E715" s="128"/>
      <c r="G715" s="115"/>
      <c r="H715" s="9"/>
      <c r="J715" s="116"/>
      <c r="K715" s="116"/>
      <c r="L715" s="114"/>
    </row>
    <row r="716" ht="15.75" customHeight="1">
      <c r="D716" s="128"/>
      <c r="E716" s="128"/>
      <c r="G716" s="115"/>
      <c r="H716" s="9"/>
      <c r="J716" s="116"/>
      <c r="K716" s="116"/>
      <c r="L716" s="114"/>
    </row>
    <row r="717" ht="15.75" customHeight="1">
      <c r="D717" s="128"/>
      <c r="E717" s="128"/>
      <c r="G717" s="115"/>
      <c r="H717" s="9"/>
      <c r="J717" s="116"/>
      <c r="K717" s="116"/>
      <c r="L717" s="114"/>
    </row>
    <row r="718" ht="15.75" customHeight="1">
      <c r="D718" s="128"/>
      <c r="E718" s="128"/>
      <c r="G718" s="115"/>
      <c r="H718" s="9"/>
      <c r="J718" s="116"/>
      <c r="K718" s="116"/>
      <c r="L718" s="114"/>
    </row>
    <row r="719" ht="15.75" customHeight="1">
      <c r="D719" s="128"/>
      <c r="E719" s="128"/>
      <c r="G719" s="115"/>
      <c r="H719" s="9"/>
      <c r="J719" s="116"/>
      <c r="K719" s="116"/>
      <c r="L719" s="114"/>
    </row>
    <row r="720" ht="15.75" customHeight="1">
      <c r="D720" s="128"/>
      <c r="E720" s="128"/>
      <c r="G720" s="115"/>
      <c r="H720" s="9"/>
      <c r="J720" s="116"/>
      <c r="K720" s="116"/>
      <c r="L720" s="114"/>
    </row>
    <row r="721" ht="15.75" customHeight="1">
      <c r="D721" s="128"/>
      <c r="E721" s="128"/>
      <c r="G721" s="115"/>
      <c r="H721" s="9"/>
      <c r="J721" s="116"/>
      <c r="K721" s="116"/>
      <c r="L721" s="114"/>
    </row>
    <row r="722" ht="15.75" customHeight="1">
      <c r="D722" s="128"/>
      <c r="E722" s="128"/>
      <c r="G722" s="115"/>
      <c r="H722" s="9"/>
      <c r="J722" s="116"/>
      <c r="K722" s="116"/>
      <c r="L722" s="114"/>
    </row>
    <row r="723" ht="15.75" customHeight="1">
      <c r="D723" s="128"/>
      <c r="E723" s="128"/>
      <c r="G723" s="115"/>
      <c r="H723" s="9"/>
      <c r="J723" s="116"/>
      <c r="K723" s="116"/>
      <c r="L723" s="114"/>
    </row>
    <row r="724" ht="15.75" customHeight="1">
      <c r="D724" s="128"/>
      <c r="E724" s="128"/>
      <c r="G724" s="115"/>
      <c r="H724" s="9"/>
      <c r="J724" s="116"/>
      <c r="K724" s="116"/>
      <c r="L724" s="114"/>
    </row>
    <row r="725" ht="15.75" customHeight="1">
      <c r="D725" s="128"/>
      <c r="E725" s="128"/>
      <c r="G725" s="115"/>
      <c r="H725" s="9"/>
      <c r="J725" s="116"/>
      <c r="K725" s="116"/>
      <c r="L725" s="114"/>
    </row>
    <row r="726" ht="15.75" customHeight="1">
      <c r="D726" s="128"/>
      <c r="E726" s="128"/>
      <c r="G726" s="115"/>
      <c r="H726" s="9"/>
      <c r="J726" s="116"/>
      <c r="K726" s="116"/>
      <c r="L726" s="114"/>
    </row>
    <row r="727" ht="15.75" customHeight="1">
      <c r="D727" s="128"/>
      <c r="E727" s="128"/>
      <c r="G727" s="115"/>
      <c r="H727" s="9"/>
      <c r="J727" s="116"/>
      <c r="K727" s="116"/>
      <c r="L727" s="114"/>
    </row>
    <row r="728" ht="15.75" customHeight="1">
      <c r="D728" s="128"/>
      <c r="E728" s="128"/>
      <c r="G728" s="115"/>
      <c r="H728" s="9"/>
      <c r="J728" s="116"/>
      <c r="K728" s="116"/>
      <c r="L728" s="114"/>
    </row>
    <row r="729" ht="15.75" customHeight="1">
      <c r="D729" s="128"/>
      <c r="E729" s="128"/>
      <c r="G729" s="115"/>
      <c r="H729" s="9"/>
      <c r="J729" s="116"/>
      <c r="K729" s="116"/>
      <c r="L729" s="114"/>
    </row>
    <row r="730" ht="15.75" customHeight="1">
      <c r="D730" s="128"/>
      <c r="E730" s="128"/>
      <c r="G730" s="115"/>
      <c r="H730" s="9"/>
      <c r="J730" s="116"/>
      <c r="K730" s="116"/>
      <c r="L730" s="114"/>
    </row>
    <row r="731" ht="15.75" customHeight="1">
      <c r="D731" s="128"/>
      <c r="E731" s="128"/>
      <c r="G731" s="115"/>
      <c r="H731" s="9"/>
      <c r="J731" s="116"/>
      <c r="K731" s="116"/>
      <c r="L731" s="114"/>
    </row>
    <row r="732" ht="15.75" customHeight="1">
      <c r="D732" s="128"/>
      <c r="E732" s="128"/>
      <c r="G732" s="115"/>
      <c r="H732" s="9"/>
      <c r="J732" s="116"/>
      <c r="K732" s="116"/>
      <c r="L732" s="114"/>
    </row>
    <row r="733" ht="15.75" customHeight="1">
      <c r="D733" s="128"/>
      <c r="E733" s="128"/>
      <c r="G733" s="115"/>
      <c r="H733" s="9"/>
      <c r="J733" s="116"/>
      <c r="K733" s="116"/>
      <c r="L733" s="114"/>
    </row>
    <row r="734" ht="15.75" customHeight="1">
      <c r="D734" s="128"/>
      <c r="E734" s="128"/>
      <c r="G734" s="115"/>
      <c r="H734" s="9"/>
      <c r="J734" s="116"/>
      <c r="K734" s="116"/>
      <c r="L734" s="114"/>
    </row>
    <row r="735" ht="15.75" customHeight="1">
      <c r="D735" s="128"/>
      <c r="E735" s="128"/>
      <c r="G735" s="115"/>
      <c r="H735" s="9"/>
      <c r="J735" s="116"/>
      <c r="K735" s="116"/>
      <c r="L735" s="114"/>
    </row>
    <row r="736" ht="15.75" customHeight="1">
      <c r="D736" s="128"/>
      <c r="E736" s="128"/>
      <c r="G736" s="115"/>
      <c r="H736" s="9"/>
      <c r="J736" s="116"/>
      <c r="K736" s="116"/>
      <c r="L736" s="114"/>
    </row>
    <row r="737" ht="15.75" customHeight="1">
      <c r="D737" s="128"/>
      <c r="E737" s="128"/>
      <c r="G737" s="115"/>
      <c r="H737" s="9"/>
      <c r="J737" s="116"/>
      <c r="K737" s="116"/>
      <c r="L737" s="114"/>
    </row>
    <row r="738" ht="15.75" customHeight="1">
      <c r="D738" s="128"/>
      <c r="E738" s="128"/>
      <c r="G738" s="115"/>
      <c r="H738" s="9"/>
      <c r="J738" s="116"/>
      <c r="K738" s="116"/>
      <c r="L738" s="114"/>
    </row>
    <row r="739" ht="15.75" customHeight="1">
      <c r="D739" s="128"/>
      <c r="E739" s="128"/>
      <c r="G739" s="115"/>
      <c r="H739" s="9"/>
      <c r="J739" s="116"/>
      <c r="K739" s="116"/>
      <c r="L739" s="114"/>
    </row>
    <row r="740" ht="15.75" customHeight="1">
      <c r="D740" s="128"/>
      <c r="E740" s="128"/>
      <c r="G740" s="115"/>
      <c r="H740" s="9"/>
      <c r="J740" s="116"/>
      <c r="K740" s="116"/>
      <c r="L740" s="114"/>
    </row>
    <row r="741" ht="15.75" customHeight="1">
      <c r="D741" s="128"/>
      <c r="E741" s="128"/>
      <c r="G741" s="115"/>
      <c r="H741" s="9"/>
      <c r="J741" s="116"/>
      <c r="K741" s="116"/>
      <c r="L741" s="114"/>
    </row>
    <row r="742" ht="15.75" customHeight="1">
      <c r="D742" s="128"/>
      <c r="E742" s="128"/>
      <c r="G742" s="115"/>
      <c r="H742" s="9"/>
      <c r="J742" s="116"/>
      <c r="K742" s="116"/>
      <c r="L742" s="114"/>
    </row>
    <row r="743" ht="15.75" customHeight="1">
      <c r="D743" s="128"/>
      <c r="E743" s="128"/>
      <c r="G743" s="115"/>
      <c r="H743" s="9"/>
      <c r="J743" s="116"/>
      <c r="K743" s="116"/>
      <c r="L743" s="114"/>
    </row>
    <row r="744" ht="15.75" customHeight="1">
      <c r="D744" s="128"/>
      <c r="E744" s="128"/>
      <c r="G744" s="115"/>
      <c r="H744" s="9"/>
      <c r="J744" s="116"/>
      <c r="K744" s="116"/>
      <c r="L744" s="114"/>
    </row>
    <row r="745" ht="15.75" customHeight="1">
      <c r="D745" s="128"/>
      <c r="E745" s="128"/>
      <c r="G745" s="115"/>
      <c r="H745" s="9"/>
      <c r="J745" s="116"/>
      <c r="K745" s="116"/>
      <c r="L745" s="114"/>
    </row>
    <row r="746" ht="15.75" customHeight="1">
      <c r="D746" s="128"/>
      <c r="E746" s="128"/>
      <c r="G746" s="115"/>
      <c r="H746" s="9"/>
      <c r="J746" s="116"/>
      <c r="K746" s="116"/>
      <c r="L746" s="114"/>
    </row>
    <row r="747" ht="15.75" customHeight="1">
      <c r="D747" s="128"/>
      <c r="E747" s="128"/>
      <c r="G747" s="115"/>
      <c r="H747" s="9"/>
      <c r="J747" s="116"/>
      <c r="K747" s="116"/>
      <c r="L747" s="114"/>
    </row>
    <row r="748" ht="15.75" customHeight="1">
      <c r="D748" s="128"/>
      <c r="E748" s="128"/>
      <c r="G748" s="115"/>
      <c r="H748" s="9"/>
      <c r="J748" s="116"/>
      <c r="K748" s="116"/>
      <c r="L748" s="114"/>
    </row>
    <row r="749" ht="15.75" customHeight="1">
      <c r="D749" s="128"/>
      <c r="E749" s="128"/>
      <c r="G749" s="115"/>
      <c r="H749" s="9"/>
      <c r="J749" s="116"/>
      <c r="K749" s="116"/>
      <c r="L749" s="114"/>
    </row>
    <row r="750" ht="15.75" customHeight="1">
      <c r="D750" s="128"/>
      <c r="E750" s="128"/>
      <c r="G750" s="115"/>
      <c r="H750" s="9"/>
      <c r="J750" s="116"/>
      <c r="K750" s="116"/>
      <c r="L750" s="114"/>
    </row>
    <row r="751" ht="15.75" customHeight="1">
      <c r="D751" s="128"/>
      <c r="E751" s="128"/>
      <c r="G751" s="115"/>
      <c r="H751" s="9"/>
      <c r="J751" s="116"/>
      <c r="K751" s="116"/>
      <c r="L751" s="114"/>
    </row>
    <row r="752" ht="15.75" customHeight="1">
      <c r="D752" s="128"/>
      <c r="E752" s="128"/>
      <c r="G752" s="115"/>
      <c r="H752" s="9"/>
      <c r="J752" s="116"/>
      <c r="K752" s="116"/>
      <c r="L752" s="114"/>
    </row>
    <row r="753" ht="15.75" customHeight="1">
      <c r="D753" s="128"/>
      <c r="E753" s="128"/>
      <c r="G753" s="115"/>
      <c r="H753" s="9"/>
      <c r="J753" s="116"/>
      <c r="K753" s="116"/>
      <c r="L753" s="114"/>
    </row>
    <row r="754" ht="15.75" customHeight="1">
      <c r="D754" s="128"/>
      <c r="E754" s="128"/>
      <c r="G754" s="115"/>
      <c r="H754" s="9"/>
      <c r="J754" s="116"/>
      <c r="K754" s="116"/>
      <c r="L754" s="114"/>
    </row>
    <row r="755" ht="15.75" customHeight="1">
      <c r="D755" s="128"/>
      <c r="E755" s="128"/>
      <c r="G755" s="115"/>
      <c r="H755" s="9"/>
      <c r="J755" s="116"/>
      <c r="K755" s="116"/>
      <c r="L755" s="114"/>
    </row>
    <row r="756" ht="15.75" customHeight="1">
      <c r="D756" s="128"/>
      <c r="E756" s="128"/>
      <c r="G756" s="115"/>
      <c r="H756" s="9"/>
      <c r="J756" s="116"/>
      <c r="K756" s="116"/>
      <c r="L756" s="114"/>
    </row>
    <row r="757" ht="15.75" customHeight="1">
      <c r="D757" s="128"/>
      <c r="E757" s="128"/>
      <c r="G757" s="115"/>
      <c r="H757" s="9"/>
      <c r="J757" s="116"/>
      <c r="K757" s="116"/>
      <c r="L757" s="114"/>
    </row>
    <row r="758" ht="15.75" customHeight="1">
      <c r="D758" s="128"/>
      <c r="E758" s="128"/>
      <c r="G758" s="115"/>
      <c r="H758" s="9"/>
      <c r="J758" s="116"/>
      <c r="K758" s="116"/>
      <c r="L758" s="114"/>
    </row>
    <row r="759" ht="15.75" customHeight="1">
      <c r="D759" s="128"/>
      <c r="E759" s="128"/>
      <c r="G759" s="115"/>
      <c r="H759" s="9"/>
      <c r="J759" s="116"/>
      <c r="K759" s="116"/>
      <c r="L759" s="114"/>
    </row>
    <row r="760" ht="15.75" customHeight="1">
      <c r="D760" s="128"/>
      <c r="E760" s="128"/>
      <c r="G760" s="115"/>
      <c r="H760" s="9"/>
      <c r="J760" s="116"/>
      <c r="K760" s="116"/>
      <c r="L760" s="114"/>
    </row>
    <row r="761" ht="15.75" customHeight="1">
      <c r="D761" s="128"/>
      <c r="E761" s="128"/>
      <c r="G761" s="115"/>
      <c r="H761" s="9"/>
      <c r="J761" s="116"/>
      <c r="K761" s="116"/>
      <c r="L761" s="114"/>
    </row>
    <row r="762" ht="15.75" customHeight="1">
      <c r="D762" s="128"/>
      <c r="E762" s="128"/>
      <c r="G762" s="115"/>
      <c r="H762" s="9"/>
      <c r="J762" s="116"/>
      <c r="K762" s="116"/>
      <c r="L762" s="114"/>
    </row>
    <row r="763" ht="15.75" customHeight="1">
      <c r="D763" s="128"/>
      <c r="E763" s="128"/>
      <c r="G763" s="115"/>
      <c r="H763" s="9"/>
      <c r="J763" s="116"/>
      <c r="K763" s="116"/>
      <c r="L763" s="114"/>
    </row>
    <row r="764" ht="15.75" customHeight="1">
      <c r="D764" s="128"/>
      <c r="E764" s="128"/>
      <c r="G764" s="115"/>
      <c r="H764" s="9"/>
      <c r="J764" s="116"/>
      <c r="K764" s="116"/>
      <c r="L764" s="114"/>
    </row>
    <row r="765" ht="15.75" customHeight="1">
      <c r="D765" s="128"/>
      <c r="E765" s="128"/>
      <c r="G765" s="115"/>
      <c r="H765" s="9"/>
      <c r="J765" s="116"/>
      <c r="K765" s="116"/>
      <c r="L765" s="114"/>
    </row>
    <row r="766" ht="15.75" customHeight="1">
      <c r="D766" s="128"/>
      <c r="E766" s="128"/>
      <c r="G766" s="115"/>
      <c r="H766" s="9"/>
      <c r="J766" s="116"/>
      <c r="K766" s="116"/>
      <c r="L766" s="114"/>
    </row>
    <row r="767" ht="15.75" customHeight="1">
      <c r="D767" s="128"/>
      <c r="E767" s="128"/>
      <c r="G767" s="115"/>
      <c r="H767" s="9"/>
      <c r="J767" s="116"/>
      <c r="K767" s="116"/>
      <c r="L767" s="114"/>
    </row>
    <row r="768" ht="15.75" customHeight="1">
      <c r="D768" s="128"/>
      <c r="E768" s="128"/>
      <c r="G768" s="115"/>
      <c r="H768" s="9"/>
      <c r="J768" s="116"/>
      <c r="K768" s="116"/>
      <c r="L768" s="114"/>
    </row>
    <row r="769" ht="15.75" customHeight="1">
      <c r="D769" s="128"/>
      <c r="E769" s="128"/>
      <c r="G769" s="115"/>
      <c r="H769" s="9"/>
      <c r="J769" s="116"/>
      <c r="K769" s="116"/>
      <c r="L769" s="114"/>
    </row>
    <row r="770" ht="15.75" customHeight="1">
      <c r="D770" s="128"/>
      <c r="E770" s="128"/>
      <c r="G770" s="115"/>
      <c r="H770" s="9"/>
      <c r="J770" s="116"/>
      <c r="K770" s="116"/>
      <c r="L770" s="114"/>
    </row>
    <row r="771" ht="15.75" customHeight="1">
      <c r="D771" s="128"/>
      <c r="E771" s="128"/>
      <c r="G771" s="115"/>
      <c r="H771" s="9"/>
      <c r="J771" s="116"/>
      <c r="K771" s="116"/>
      <c r="L771" s="114"/>
    </row>
    <row r="772" ht="15.75" customHeight="1">
      <c r="D772" s="128"/>
      <c r="E772" s="128"/>
      <c r="G772" s="115"/>
      <c r="H772" s="9"/>
      <c r="J772" s="116"/>
      <c r="K772" s="116"/>
      <c r="L772" s="114"/>
    </row>
    <row r="773" ht="15.75" customHeight="1">
      <c r="D773" s="128"/>
      <c r="E773" s="128"/>
      <c r="G773" s="115"/>
      <c r="H773" s="9"/>
      <c r="J773" s="116"/>
      <c r="K773" s="116"/>
      <c r="L773" s="114"/>
    </row>
    <row r="774" ht="15.75" customHeight="1">
      <c r="D774" s="128"/>
      <c r="E774" s="128"/>
      <c r="G774" s="115"/>
      <c r="H774" s="9"/>
      <c r="J774" s="116"/>
      <c r="K774" s="116"/>
      <c r="L774" s="114"/>
    </row>
    <row r="775" ht="15.75" customHeight="1">
      <c r="D775" s="128"/>
      <c r="E775" s="128"/>
      <c r="G775" s="115"/>
      <c r="H775" s="9"/>
      <c r="J775" s="116"/>
      <c r="K775" s="116"/>
      <c r="L775" s="114"/>
    </row>
    <row r="776" ht="15.75" customHeight="1">
      <c r="D776" s="128"/>
      <c r="E776" s="128"/>
      <c r="G776" s="115"/>
      <c r="H776" s="9"/>
      <c r="J776" s="116"/>
      <c r="K776" s="116"/>
      <c r="L776" s="114"/>
    </row>
    <row r="777" ht="15.75" customHeight="1">
      <c r="D777" s="128"/>
      <c r="E777" s="128"/>
      <c r="G777" s="115"/>
      <c r="H777" s="9"/>
      <c r="J777" s="116"/>
      <c r="K777" s="116"/>
      <c r="L777" s="114"/>
    </row>
    <row r="778" ht="15.75" customHeight="1">
      <c r="D778" s="128"/>
      <c r="E778" s="128"/>
      <c r="G778" s="115"/>
      <c r="H778" s="9"/>
      <c r="J778" s="116"/>
      <c r="K778" s="116"/>
      <c r="L778" s="114"/>
    </row>
    <row r="779" ht="15.75" customHeight="1">
      <c r="D779" s="128"/>
      <c r="E779" s="128"/>
      <c r="G779" s="115"/>
      <c r="H779" s="9"/>
      <c r="J779" s="116"/>
      <c r="K779" s="116"/>
      <c r="L779" s="114"/>
    </row>
    <row r="780" ht="15.75" customHeight="1">
      <c r="D780" s="128"/>
      <c r="E780" s="128"/>
      <c r="G780" s="115"/>
      <c r="H780" s="9"/>
      <c r="J780" s="116"/>
      <c r="K780" s="116"/>
      <c r="L780" s="114"/>
    </row>
    <row r="781" ht="15.75" customHeight="1">
      <c r="D781" s="128"/>
      <c r="E781" s="128"/>
      <c r="G781" s="115"/>
      <c r="H781" s="9"/>
      <c r="J781" s="116"/>
      <c r="K781" s="116"/>
      <c r="L781" s="114"/>
    </row>
    <row r="782" ht="15.75" customHeight="1">
      <c r="D782" s="128"/>
      <c r="E782" s="128"/>
      <c r="G782" s="115"/>
      <c r="H782" s="9"/>
      <c r="J782" s="116"/>
      <c r="K782" s="116"/>
      <c r="L782" s="114"/>
    </row>
    <row r="783" ht="15.75" customHeight="1">
      <c r="D783" s="128"/>
      <c r="E783" s="128"/>
      <c r="G783" s="115"/>
      <c r="H783" s="9"/>
      <c r="J783" s="116"/>
      <c r="K783" s="116"/>
      <c r="L783" s="114"/>
    </row>
    <row r="784" ht="15.75" customHeight="1">
      <c r="D784" s="128"/>
      <c r="E784" s="128"/>
      <c r="G784" s="115"/>
      <c r="H784" s="9"/>
      <c r="J784" s="116"/>
      <c r="K784" s="116"/>
      <c r="L784" s="114"/>
    </row>
    <row r="785" ht="15.75" customHeight="1">
      <c r="D785" s="128"/>
      <c r="E785" s="128"/>
      <c r="G785" s="115"/>
      <c r="H785" s="9"/>
      <c r="J785" s="116"/>
      <c r="K785" s="116"/>
      <c r="L785" s="114"/>
    </row>
    <row r="786" ht="15.75" customHeight="1">
      <c r="D786" s="128"/>
      <c r="E786" s="128"/>
      <c r="G786" s="115"/>
      <c r="H786" s="9"/>
      <c r="J786" s="116"/>
      <c r="K786" s="116"/>
      <c r="L786" s="114"/>
    </row>
    <row r="787" ht="15.75" customHeight="1">
      <c r="D787" s="128"/>
      <c r="E787" s="128"/>
      <c r="G787" s="115"/>
      <c r="H787" s="9"/>
      <c r="J787" s="116"/>
      <c r="K787" s="116"/>
      <c r="L787" s="114"/>
    </row>
    <row r="788" ht="15.75" customHeight="1">
      <c r="D788" s="128"/>
      <c r="E788" s="128"/>
      <c r="G788" s="115"/>
      <c r="H788" s="9"/>
      <c r="J788" s="116"/>
      <c r="K788" s="116"/>
      <c r="L788" s="114"/>
    </row>
    <row r="789" ht="15.75" customHeight="1">
      <c r="D789" s="128"/>
      <c r="E789" s="128"/>
      <c r="G789" s="115"/>
      <c r="H789" s="9"/>
      <c r="J789" s="116"/>
      <c r="K789" s="116"/>
      <c r="L789" s="114"/>
    </row>
    <row r="790" ht="15.75" customHeight="1">
      <c r="D790" s="128"/>
      <c r="E790" s="128"/>
      <c r="G790" s="115"/>
      <c r="H790" s="9"/>
      <c r="J790" s="116"/>
      <c r="K790" s="116"/>
      <c r="L790" s="114"/>
    </row>
    <row r="791" ht="15.75" customHeight="1">
      <c r="D791" s="128"/>
      <c r="E791" s="128"/>
      <c r="G791" s="115"/>
      <c r="H791" s="9"/>
      <c r="J791" s="116"/>
      <c r="K791" s="116"/>
      <c r="L791" s="114"/>
    </row>
    <row r="792" ht="15.75" customHeight="1">
      <c r="D792" s="128"/>
      <c r="E792" s="128"/>
      <c r="G792" s="115"/>
      <c r="H792" s="9"/>
      <c r="J792" s="116"/>
      <c r="K792" s="116"/>
      <c r="L792" s="114"/>
    </row>
    <row r="793" ht="15.75" customHeight="1">
      <c r="D793" s="128"/>
      <c r="E793" s="128"/>
      <c r="G793" s="115"/>
      <c r="H793" s="9"/>
      <c r="J793" s="116"/>
      <c r="K793" s="116"/>
      <c r="L793" s="114"/>
    </row>
    <row r="794" ht="15.75" customHeight="1">
      <c r="D794" s="128"/>
      <c r="E794" s="128"/>
      <c r="G794" s="115"/>
      <c r="H794" s="9"/>
      <c r="J794" s="116"/>
      <c r="K794" s="116"/>
      <c r="L794" s="114"/>
    </row>
    <row r="795" ht="15.75" customHeight="1">
      <c r="D795" s="128"/>
      <c r="E795" s="128"/>
      <c r="G795" s="115"/>
      <c r="H795" s="9"/>
      <c r="J795" s="116"/>
      <c r="K795" s="116"/>
      <c r="L795" s="114"/>
    </row>
    <row r="796" ht="15.75" customHeight="1">
      <c r="D796" s="128"/>
      <c r="E796" s="128"/>
      <c r="G796" s="115"/>
      <c r="H796" s="9"/>
      <c r="J796" s="116"/>
      <c r="K796" s="116"/>
      <c r="L796" s="114"/>
    </row>
    <row r="797" ht="15.75" customHeight="1">
      <c r="D797" s="128"/>
      <c r="E797" s="128"/>
      <c r="G797" s="115"/>
      <c r="H797" s="9"/>
      <c r="J797" s="116"/>
      <c r="K797" s="116"/>
      <c r="L797" s="114"/>
    </row>
    <row r="798" ht="15.75" customHeight="1">
      <c r="D798" s="128"/>
      <c r="E798" s="128"/>
      <c r="G798" s="115"/>
      <c r="H798" s="9"/>
      <c r="J798" s="116"/>
      <c r="K798" s="116"/>
      <c r="L798" s="114"/>
    </row>
    <row r="799" ht="15.75" customHeight="1">
      <c r="D799" s="128"/>
      <c r="E799" s="128"/>
      <c r="G799" s="115"/>
      <c r="H799" s="9"/>
      <c r="J799" s="116"/>
      <c r="K799" s="116"/>
      <c r="L799" s="114"/>
    </row>
    <row r="800" ht="15.75" customHeight="1">
      <c r="D800" s="128"/>
      <c r="E800" s="128"/>
      <c r="G800" s="115"/>
      <c r="H800" s="9"/>
      <c r="J800" s="116"/>
      <c r="K800" s="116"/>
      <c r="L800" s="114"/>
    </row>
    <row r="801" ht="15.75" customHeight="1">
      <c r="D801" s="128"/>
      <c r="E801" s="128"/>
      <c r="G801" s="115"/>
      <c r="H801" s="9"/>
      <c r="J801" s="116"/>
      <c r="K801" s="116"/>
      <c r="L801" s="114"/>
    </row>
    <row r="802" ht="15.75" customHeight="1">
      <c r="D802" s="128"/>
      <c r="E802" s="128"/>
      <c r="G802" s="115"/>
      <c r="H802" s="9"/>
      <c r="J802" s="116"/>
      <c r="K802" s="116"/>
      <c r="L802" s="114"/>
    </row>
    <row r="803" ht="15.75" customHeight="1">
      <c r="D803" s="128"/>
      <c r="E803" s="128"/>
      <c r="G803" s="115"/>
      <c r="H803" s="9"/>
      <c r="J803" s="116"/>
      <c r="K803" s="116"/>
      <c r="L803" s="114"/>
    </row>
    <row r="804" ht="15.75" customHeight="1">
      <c r="D804" s="128"/>
      <c r="E804" s="128"/>
      <c r="G804" s="115"/>
      <c r="H804" s="9"/>
      <c r="J804" s="116"/>
      <c r="K804" s="116"/>
      <c r="L804" s="114"/>
    </row>
    <row r="805" ht="15.75" customHeight="1">
      <c r="D805" s="128"/>
      <c r="E805" s="128"/>
      <c r="G805" s="115"/>
      <c r="H805" s="9"/>
      <c r="J805" s="116"/>
      <c r="K805" s="116"/>
      <c r="L805" s="114"/>
    </row>
    <row r="806" ht="15.75" customHeight="1">
      <c r="D806" s="128"/>
      <c r="E806" s="128"/>
      <c r="G806" s="115"/>
      <c r="H806" s="9"/>
      <c r="J806" s="116"/>
      <c r="K806" s="116"/>
      <c r="L806" s="114"/>
    </row>
    <row r="807" ht="15.75" customHeight="1">
      <c r="D807" s="128"/>
      <c r="E807" s="128"/>
      <c r="G807" s="115"/>
      <c r="H807" s="9"/>
      <c r="J807" s="116"/>
      <c r="K807" s="116"/>
      <c r="L807" s="114"/>
    </row>
    <row r="808" ht="15.75" customHeight="1">
      <c r="D808" s="128"/>
      <c r="E808" s="128"/>
      <c r="G808" s="115"/>
      <c r="H808" s="9"/>
      <c r="J808" s="116"/>
      <c r="K808" s="116"/>
      <c r="L808" s="114"/>
    </row>
    <row r="809" ht="15.75" customHeight="1">
      <c r="D809" s="128"/>
      <c r="E809" s="128"/>
      <c r="G809" s="115"/>
      <c r="H809" s="9"/>
      <c r="J809" s="116"/>
      <c r="K809" s="116"/>
      <c r="L809" s="114"/>
    </row>
    <row r="810" ht="15.75" customHeight="1">
      <c r="D810" s="128"/>
      <c r="E810" s="128"/>
      <c r="G810" s="115"/>
      <c r="H810" s="9"/>
      <c r="J810" s="116"/>
      <c r="K810" s="116"/>
      <c r="L810" s="114"/>
    </row>
    <row r="811" ht="15.75" customHeight="1">
      <c r="D811" s="128"/>
      <c r="E811" s="128"/>
      <c r="G811" s="115"/>
      <c r="H811" s="9"/>
      <c r="J811" s="116"/>
      <c r="K811" s="116"/>
      <c r="L811" s="114"/>
    </row>
    <row r="812" ht="15.75" customHeight="1">
      <c r="D812" s="128"/>
      <c r="E812" s="128"/>
      <c r="G812" s="115"/>
      <c r="H812" s="9"/>
      <c r="J812" s="116"/>
      <c r="K812" s="116"/>
      <c r="L812" s="114"/>
    </row>
    <row r="813" ht="15.75" customHeight="1">
      <c r="D813" s="128"/>
      <c r="E813" s="128"/>
      <c r="G813" s="115"/>
      <c r="H813" s="9"/>
      <c r="J813" s="116"/>
      <c r="K813" s="116"/>
      <c r="L813" s="114"/>
    </row>
    <row r="814" ht="15.75" customHeight="1">
      <c r="D814" s="128"/>
      <c r="E814" s="128"/>
      <c r="G814" s="115"/>
      <c r="H814" s="9"/>
      <c r="J814" s="116"/>
      <c r="K814" s="116"/>
      <c r="L814" s="114"/>
    </row>
    <row r="815" ht="15.75" customHeight="1">
      <c r="D815" s="128"/>
      <c r="E815" s="128"/>
      <c r="G815" s="115"/>
      <c r="H815" s="9"/>
      <c r="J815" s="116"/>
      <c r="K815" s="116"/>
      <c r="L815" s="114"/>
    </row>
    <row r="816" ht="15.75" customHeight="1">
      <c r="D816" s="128"/>
      <c r="E816" s="128"/>
      <c r="G816" s="115"/>
      <c r="H816" s="9"/>
      <c r="J816" s="116"/>
      <c r="K816" s="116"/>
      <c r="L816" s="114"/>
    </row>
    <row r="817" ht="15.75" customHeight="1">
      <c r="D817" s="128"/>
      <c r="E817" s="128"/>
      <c r="G817" s="115"/>
      <c r="H817" s="9"/>
      <c r="J817" s="116"/>
      <c r="K817" s="116"/>
      <c r="L817" s="114"/>
    </row>
    <row r="818" ht="15.75" customHeight="1">
      <c r="D818" s="128"/>
      <c r="E818" s="128"/>
      <c r="G818" s="115"/>
      <c r="H818" s="9"/>
      <c r="J818" s="116"/>
      <c r="K818" s="116"/>
      <c r="L818" s="114"/>
    </row>
    <row r="819" ht="15.75" customHeight="1">
      <c r="D819" s="128"/>
      <c r="E819" s="128"/>
      <c r="G819" s="115"/>
      <c r="H819" s="9"/>
      <c r="J819" s="116"/>
      <c r="K819" s="116"/>
      <c r="L819" s="114"/>
    </row>
    <row r="820" ht="15.75" customHeight="1">
      <c r="D820" s="128"/>
      <c r="E820" s="128"/>
      <c r="G820" s="115"/>
      <c r="H820" s="9"/>
      <c r="J820" s="116"/>
      <c r="K820" s="116"/>
      <c r="L820" s="114"/>
    </row>
    <row r="821" ht="15.75" customHeight="1">
      <c r="D821" s="128"/>
      <c r="E821" s="128"/>
      <c r="G821" s="115"/>
      <c r="H821" s="9"/>
      <c r="J821" s="116"/>
      <c r="K821" s="116"/>
      <c r="L821" s="114"/>
    </row>
    <row r="822" ht="15.75" customHeight="1">
      <c r="D822" s="128"/>
      <c r="E822" s="128"/>
      <c r="G822" s="115"/>
      <c r="H822" s="9"/>
      <c r="J822" s="116"/>
      <c r="K822" s="116"/>
      <c r="L822" s="114"/>
    </row>
    <row r="823" ht="15.75" customHeight="1">
      <c r="D823" s="128"/>
      <c r="E823" s="128"/>
      <c r="G823" s="115"/>
      <c r="H823" s="9"/>
      <c r="J823" s="116"/>
      <c r="K823" s="116"/>
      <c r="L823" s="114"/>
    </row>
    <row r="824" ht="15.75" customHeight="1">
      <c r="D824" s="128"/>
      <c r="E824" s="128"/>
      <c r="G824" s="115"/>
      <c r="H824" s="9"/>
      <c r="J824" s="116"/>
      <c r="K824" s="116"/>
      <c r="L824" s="114"/>
    </row>
    <row r="825" ht="15.75" customHeight="1">
      <c r="D825" s="128"/>
      <c r="E825" s="128"/>
      <c r="G825" s="115"/>
      <c r="H825" s="9"/>
      <c r="J825" s="116"/>
      <c r="K825" s="116"/>
      <c r="L825" s="114"/>
    </row>
    <row r="826" ht="15.75" customHeight="1">
      <c r="D826" s="128"/>
      <c r="E826" s="128"/>
      <c r="G826" s="115"/>
      <c r="H826" s="9"/>
      <c r="J826" s="116"/>
      <c r="K826" s="116"/>
      <c r="L826" s="114"/>
    </row>
    <row r="827" ht="15.75" customHeight="1">
      <c r="D827" s="128"/>
      <c r="E827" s="128"/>
      <c r="G827" s="115"/>
      <c r="H827" s="9"/>
      <c r="J827" s="116"/>
      <c r="K827" s="116"/>
      <c r="L827" s="114"/>
    </row>
    <row r="828" ht="15.75" customHeight="1">
      <c r="D828" s="128"/>
      <c r="E828" s="128"/>
      <c r="G828" s="115"/>
      <c r="H828" s="9"/>
      <c r="J828" s="116"/>
      <c r="K828" s="116"/>
      <c r="L828" s="114"/>
    </row>
    <row r="829" ht="15.75" customHeight="1">
      <c r="D829" s="128"/>
      <c r="E829" s="128"/>
      <c r="G829" s="115"/>
      <c r="H829" s="9"/>
      <c r="J829" s="116"/>
      <c r="K829" s="116"/>
      <c r="L829" s="114"/>
    </row>
    <row r="830" ht="15.75" customHeight="1">
      <c r="D830" s="128"/>
      <c r="E830" s="128"/>
      <c r="G830" s="115"/>
      <c r="H830" s="9"/>
      <c r="J830" s="116"/>
      <c r="K830" s="116"/>
      <c r="L830" s="114"/>
    </row>
    <row r="831" ht="15.75" customHeight="1">
      <c r="D831" s="128"/>
      <c r="E831" s="128"/>
      <c r="G831" s="115"/>
      <c r="H831" s="9"/>
      <c r="J831" s="116"/>
      <c r="K831" s="116"/>
      <c r="L831" s="114"/>
    </row>
    <row r="832" ht="15.75" customHeight="1">
      <c r="D832" s="128"/>
      <c r="E832" s="128"/>
      <c r="G832" s="115"/>
      <c r="H832" s="9"/>
      <c r="J832" s="116"/>
      <c r="K832" s="116"/>
      <c r="L832" s="114"/>
    </row>
    <row r="833" ht="15.75" customHeight="1">
      <c r="D833" s="128"/>
      <c r="E833" s="128"/>
      <c r="G833" s="115"/>
      <c r="H833" s="9"/>
      <c r="J833" s="116"/>
      <c r="K833" s="116"/>
      <c r="L833" s="114"/>
    </row>
    <row r="834" ht="15.75" customHeight="1">
      <c r="D834" s="128"/>
      <c r="E834" s="128"/>
      <c r="G834" s="115"/>
      <c r="H834" s="9"/>
      <c r="J834" s="116"/>
      <c r="K834" s="116"/>
      <c r="L834" s="114"/>
    </row>
    <row r="835" ht="15.75" customHeight="1">
      <c r="D835" s="128"/>
      <c r="E835" s="128"/>
      <c r="G835" s="115"/>
      <c r="H835" s="9"/>
      <c r="J835" s="116"/>
      <c r="K835" s="116"/>
      <c r="L835" s="114"/>
    </row>
    <row r="836" ht="15.75" customHeight="1">
      <c r="D836" s="128"/>
      <c r="E836" s="128"/>
      <c r="G836" s="115"/>
      <c r="H836" s="9"/>
      <c r="J836" s="116"/>
      <c r="K836" s="116"/>
      <c r="L836" s="114"/>
    </row>
    <row r="837" ht="15.75" customHeight="1">
      <c r="D837" s="128"/>
      <c r="E837" s="128"/>
      <c r="G837" s="115"/>
      <c r="H837" s="9"/>
      <c r="J837" s="116"/>
      <c r="K837" s="116"/>
      <c r="L837" s="114"/>
    </row>
    <row r="838" ht="15.75" customHeight="1">
      <c r="D838" s="128"/>
      <c r="E838" s="128"/>
      <c r="G838" s="115"/>
      <c r="H838" s="9"/>
      <c r="J838" s="116"/>
      <c r="K838" s="116"/>
      <c r="L838" s="114"/>
    </row>
    <row r="839" ht="15.75" customHeight="1">
      <c r="D839" s="128"/>
      <c r="E839" s="128"/>
      <c r="G839" s="115"/>
      <c r="H839" s="9"/>
      <c r="J839" s="116"/>
      <c r="K839" s="116"/>
      <c r="L839" s="114"/>
    </row>
    <row r="840" ht="15.75" customHeight="1">
      <c r="D840" s="128"/>
      <c r="E840" s="128"/>
      <c r="G840" s="115"/>
      <c r="H840" s="9"/>
      <c r="J840" s="116"/>
      <c r="K840" s="116"/>
      <c r="L840" s="114"/>
    </row>
    <row r="841" ht="15.75" customHeight="1">
      <c r="D841" s="128"/>
      <c r="E841" s="128"/>
      <c r="G841" s="115"/>
      <c r="H841" s="9"/>
      <c r="J841" s="116"/>
      <c r="K841" s="116"/>
      <c r="L841" s="114"/>
    </row>
    <row r="842" ht="15.75" customHeight="1">
      <c r="D842" s="128"/>
      <c r="E842" s="128"/>
      <c r="G842" s="115"/>
      <c r="H842" s="9"/>
      <c r="J842" s="116"/>
      <c r="K842" s="116"/>
      <c r="L842" s="114"/>
    </row>
    <row r="843" ht="15.75" customHeight="1">
      <c r="D843" s="128"/>
      <c r="E843" s="128"/>
      <c r="G843" s="115"/>
      <c r="H843" s="9"/>
      <c r="J843" s="116"/>
      <c r="K843" s="116"/>
      <c r="L843" s="114"/>
    </row>
    <row r="844" ht="15.75" customHeight="1">
      <c r="D844" s="128"/>
      <c r="E844" s="128"/>
      <c r="G844" s="115"/>
      <c r="H844" s="9"/>
      <c r="J844" s="116"/>
      <c r="K844" s="116"/>
      <c r="L844" s="114"/>
    </row>
    <row r="845" ht="15.75" customHeight="1">
      <c r="D845" s="128"/>
      <c r="E845" s="128"/>
      <c r="G845" s="115"/>
      <c r="H845" s="9"/>
      <c r="J845" s="116"/>
      <c r="K845" s="116"/>
      <c r="L845" s="114"/>
    </row>
    <row r="846" ht="15.75" customHeight="1">
      <c r="D846" s="128"/>
      <c r="E846" s="128"/>
      <c r="G846" s="115"/>
      <c r="H846" s="9"/>
      <c r="J846" s="116"/>
      <c r="K846" s="116"/>
      <c r="L846" s="114"/>
    </row>
    <row r="847" ht="15.75" customHeight="1">
      <c r="D847" s="128"/>
      <c r="E847" s="128"/>
      <c r="G847" s="115"/>
      <c r="H847" s="9"/>
      <c r="J847" s="116"/>
      <c r="K847" s="116"/>
      <c r="L847" s="114"/>
    </row>
    <row r="848" ht="15.75" customHeight="1">
      <c r="D848" s="128"/>
      <c r="E848" s="128"/>
      <c r="G848" s="115"/>
      <c r="H848" s="9"/>
      <c r="J848" s="116"/>
      <c r="K848" s="116"/>
      <c r="L848" s="114"/>
    </row>
    <row r="849" ht="15.75" customHeight="1">
      <c r="D849" s="128"/>
      <c r="E849" s="128"/>
      <c r="G849" s="115"/>
      <c r="H849" s="9"/>
      <c r="J849" s="116"/>
      <c r="K849" s="116"/>
      <c r="L849" s="114"/>
    </row>
    <row r="850" ht="15.75" customHeight="1">
      <c r="D850" s="128"/>
      <c r="E850" s="128"/>
      <c r="G850" s="115"/>
      <c r="H850" s="9"/>
      <c r="J850" s="116"/>
      <c r="K850" s="116"/>
      <c r="L850" s="114"/>
    </row>
    <row r="851" ht="15.75" customHeight="1">
      <c r="D851" s="128"/>
      <c r="E851" s="128"/>
      <c r="G851" s="115"/>
      <c r="H851" s="9"/>
      <c r="J851" s="116"/>
      <c r="K851" s="116"/>
      <c r="L851" s="114"/>
    </row>
    <row r="852" ht="15.75" customHeight="1">
      <c r="D852" s="128"/>
      <c r="E852" s="128"/>
      <c r="G852" s="115"/>
      <c r="H852" s="9"/>
      <c r="J852" s="116"/>
      <c r="K852" s="116"/>
      <c r="L852" s="114"/>
    </row>
    <row r="853" ht="15.75" customHeight="1">
      <c r="D853" s="128"/>
      <c r="E853" s="128"/>
      <c r="G853" s="115"/>
      <c r="H853" s="9"/>
      <c r="J853" s="116"/>
      <c r="K853" s="116"/>
      <c r="L853" s="114"/>
    </row>
    <row r="854" ht="15.75" customHeight="1">
      <c r="D854" s="128"/>
      <c r="E854" s="128"/>
      <c r="G854" s="115"/>
      <c r="H854" s="9"/>
      <c r="J854" s="116"/>
      <c r="K854" s="116"/>
      <c r="L854" s="114"/>
    </row>
    <row r="855" ht="15.75" customHeight="1">
      <c r="D855" s="128"/>
      <c r="E855" s="128"/>
      <c r="G855" s="115"/>
      <c r="H855" s="9"/>
      <c r="J855" s="116"/>
      <c r="K855" s="116"/>
      <c r="L855" s="114"/>
    </row>
    <row r="856" ht="15.75" customHeight="1">
      <c r="D856" s="128"/>
      <c r="E856" s="128"/>
      <c r="G856" s="115"/>
      <c r="H856" s="9"/>
      <c r="J856" s="116"/>
      <c r="K856" s="116"/>
      <c r="L856" s="114"/>
    </row>
    <row r="857" ht="15.75" customHeight="1">
      <c r="D857" s="128"/>
      <c r="E857" s="128"/>
      <c r="G857" s="115"/>
      <c r="H857" s="9"/>
      <c r="J857" s="116"/>
      <c r="K857" s="116"/>
      <c r="L857" s="114"/>
    </row>
    <row r="858" ht="15.75" customHeight="1">
      <c r="D858" s="128"/>
      <c r="E858" s="128"/>
      <c r="G858" s="115"/>
      <c r="H858" s="9"/>
      <c r="J858" s="116"/>
      <c r="K858" s="116"/>
      <c r="L858" s="114"/>
    </row>
    <row r="859" ht="15.75" customHeight="1">
      <c r="D859" s="128"/>
      <c r="E859" s="128"/>
      <c r="G859" s="115"/>
      <c r="H859" s="9"/>
      <c r="J859" s="116"/>
      <c r="K859" s="116"/>
      <c r="L859" s="114"/>
    </row>
    <row r="860" ht="15.75" customHeight="1">
      <c r="D860" s="128"/>
      <c r="E860" s="128"/>
      <c r="G860" s="115"/>
      <c r="H860" s="9"/>
      <c r="J860" s="116"/>
      <c r="K860" s="116"/>
      <c r="L860" s="114"/>
    </row>
    <row r="861" ht="15.75" customHeight="1">
      <c r="D861" s="128"/>
      <c r="E861" s="128"/>
      <c r="G861" s="115"/>
      <c r="H861" s="9"/>
      <c r="J861" s="116"/>
      <c r="K861" s="116"/>
      <c r="L861" s="114"/>
    </row>
    <row r="862" ht="15.75" customHeight="1">
      <c r="D862" s="128"/>
      <c r="E862" s="128"/>
      <c r="G862" s="115"/>
      <c r="H862" s="9"/>
      <c r="J862" s="116"/>
      <c r="K862" s="116"/>
      <c r="L862" s="114"/>
    </row>
    <row r="863" ht="15.75" customHeight="1">
      <c r="D863" s="128"/>
      <c r="E863" s="128"/>
      <c r="G863" s="115"/>
      <c r="H863" s="9"/>
      <c r="J863" s="116"/>
      <c r="K863" s="116"/>
      <c r="L863" s="114"/>
    </row>
    <row r="864" ht="15.75" customHeight="1">
      <c r="D864" s="128"/>
      <c r="E864" s="128"/>
      <c r="G864" s="115"/>
      <c r="H864" s="9"/>
      <c r="J864" s="116"/>
      <c r="K864" s="116"/>
      <c r="L864" s="114"/>
    </row>
    <row r="865" ht="15.75" customHeight="1">
      <c r="D865" s="128"/>
      <c r="E865" s="128"/>
      <c r="G865" s="115"/>
      <c r="H865" s="9"/>
      <c r="J865" s="116"/>
      <c r="K865" s="116"/>
      <c r="L865" s="114"/>
    </row>
    <row r="866" ht="15.75" customHeight="1">
      <c r="D866" s="128"/>
      <c r="E866" s="128"/>
      <c r="G866" s="115"/>
      <c r="H866" s="9"/>
      <c r="J866" s="116"/>
      <c r="K866" s="116"/>
      <c r="L866" s="114"/>
    </row>
    <row r="867" ht="15.75" customHeight="1">
      <c r="D867" s="128"/>
      <c r="E867" s="128"/>
      <c r="G867" s="115"/>
      <c r="H867" s="9"/>
      <c r="J867" s="116"/>
      <c r="K867" s="116"/>
      <c r="L867" s="114"/>
    </row>
    <row r="868" ht="15.75" customHeight="1">
      <c r="D868" s="128"/>
      <c r="E868" s="128"/>
      <c r="G868" s="115"/>
      <c r="H868" s="9"/>
      <c r="J868" s="116"/>
      <c r="K868" s="116"/>
      <c r="L868" s="114"/>
    </row>
    <row r="869" ht="15.75" customHeight="1">
      <c r="D869" s="128"/>
      <c r="E869" s="128"/>
      <c r="G869" s="115"/>
      <c r="H869" s="9"/>
      <c r="J869" s="116"/>
      <c r="K869" s="116"/>
      <c r="L869" s="114"/>
    </row>
    <row r="870" ht="15.75" customHeight="1">
      <c r="D870" s="128"/>
      <c r="E870" s="128"/>
      <c r="G870" s="115"/>
      <c r="H870" s="9"/>
      <c r="J870" s="116"/>
      <c r="K870" s="116"/>
      <c r="L870" s="114"/>
    </row>
    <row r="871" ht="15.75" customHeight="1">
      <c r="D871" s="128"/>
      <c r="E871" s="128"/>
      <c r="G871" s="115"/>
      <c r="H871" s="9"/>
      <c r="J871" s="116"/>
      <c r="K871" s="116"/>
      <c r="L871" s="114"/>
    </row>
    <row r="872" ht="15.75" customHeight="1">
      <c r="D872" s="128"/>
      <c r="E872" s="128"/>
      <c r="G872" s="115"/>
      <c r="H872" s="9"/>
      <c r="J872" s="116"/>
      <c r="K872" s="116"/>
      <c r="L872" s="114"/>
    </row>
    <row r="873" ht="15.75" customHeight="1">
      <c r="D873" s="128"/>
      <c r="E873" s="128"/>
      <c r="G873" s="115"/>
      <c r="H873" s="9"/>
      <c r="J873" s="116"/>
      <c r="K873" s="116"/>
      <c r="L873" s="114"/>
    </row>
    <row r="874" ht="15.75" customHeight="1">
      <c r="D874" s="128"/>
      <c r="E874" s="128"/>
      <c r="G874" s="115"/>
      <c r="H874" s="9"/>
      <c r="J874" s="116"/>
      <c r="K874" s="116"/>
      <c r="L874" s="114"/>
    </row>
    <row r="875" ht="15.75" customHeight="1">
      <c r="D875" s="128"/>
      <c r="E875" s="128"/>
      <c r="G875" s="115"/>
      <c r="H875" s="9"/>
      <c r="J875" s="116"/>
      <c r="K875" s="116"/>
      <c r="L875" s="114"/>
    </row>
    <row r="876" ht="15.75" customHeight="1">
      <c r="D876" s="128"/>
      <c r="E876" s="128"/>
      <c r="G876" s="115"/>
      <c r="H876" s="9"/>
      <c r="J876" s="116"/>
      <c r="K876" s="116"/>
      <c r="L876" s="114"/>
    </row>
    <row r="877" ht="15.75" customHeight="1">
      <c r="D877" s="128"/>
      <c r="E877" s="128"/>
      <c r="G877" s="115"/>
      <c r="H877" s="9"/>
      <c r="J877" s="116"/>
      <c r="K877" s="116"/>
      <c r="L877" s="114"/>
    </row>
    <row r="878" ht="15.75" customHeight="1">
      <c r="D878" s="128"/>
      <c r="E878" s="128"/>
      <c r="G878" s="115"/>
      <c r="H878" s="9"/>
      <c r="J878" s="116"/>
      <c r="K878" s="116"/>
      <c r="L878" s="114"/>
    </row>
    <row r="879" ht="15.75" customHeight="1">
      <c r="D879" s="128"/>
      <c r="E879" s="128"/>
      <c r="G879" s="115"/>
      <c r="H879" s="9"/>
      <c r="J879" s="116"/>
      <c r="K879" s="116"/>
      <c r="L879" s="114"/>
    </row>
    <row r="880" ht="15.75" customHeight="1">
      <c r="D880" s="128"/>
      <c r="E880" s="128"/>
      <c r="G880" s="115"/>
      <c r="H880" s="9"/>
      <c r="J880" s="116"/>
      <c r="K880" s="116"/>
      <c r="L880" s="114"/>
    </row>
    <row r="881" ht="15.75" customHeight="1">
      <c r="D881" s="128"/>
      <c r="E881" s="128"/>
      <c r="G881" s="115"/>
      <c r="H881" s="9"/>
      <c r="J881" s="116"/>
      <c r="K881" s="116"/>
      <c r="L881" s="114"/>
    </row>
    <row r="882" ht="15.75" customHeight="1">
      <c r="D882" s="128"/>
      <c r="E882" s="128"/>
      <c r="G882" s="115"/>
      <c r="H882" s="9"/>
      <c r="J882" s="116"/>
      <c r="K882" s="116"/>
      <c r="L882" s="114"/>
    </row>
    <row r="883" ht="15.75" customHeight="1">
      <c r="D883" s="128"/>
      <c r="E883" s="128"/>
      <c r="G883" s="115"/>
      <c r="H883" s="9"/>
      <c r="J883" s="116"/>
      <c r="K883" s="116"/>
      <c r="L883" s="114"/>
    </row>
    <row r="884" ht="15.75" customHeight="1">
      <c r="D884" s="128"/>
      <c r="E884" s="128"/>
      <c r="G884" s="115"/>
      <c r="H884" s="9"/>
      <c r="J884" s="116"/>
      <c r="K884" s="116"/>
      <c r="L884" s="114"/>
    </row>
    <row r="885" ht="15.75" customHeight="1">
      <c r="D885" s="128"/>
      <c r="E885" s="128"/>
      <c r="G885" s="115"/>
      <c r="H885" s="9"/>
      <c r="J885" s="116"/>
      <c r="K885" s="116"/>
      <c r="L885" s="114"/>
    </row>
    <row r="886" ht="15.75" customHeight="1">
      <c r="D886" s="128"/>
      <c r="E886" s="128"/>
      <c r="G886" s="115"/>
      <c r="H886" s="9"/>
      <c r="J886" s="116"/>
      <c r="K886" s="116"/>
      <c r="L886" s="114"/>
    </row>
    <row r="887" ht="15.75" customHeight="1">
      <c r="D887" s="128"/>
      <c r="E887" s="128"/>
      <c r="G887" s="115"/>
      <c r="H887" s="9"/>
      <c r="J887" s="116"/>
      <c r="K887" s="116"/>
      <c r="L887" s="114"/>
    </row>
    <row r="888" ht="15.75" customHeight="1">
      <c r="D888" s="128"/>
      <c r="E888" s="128"/>
      <c r="G888" s="115"/>
      <c r="H888" s="9"/>
      <c r="J888" s="116"/>
      <c r="K888" s="116"/>
      <c r="L888" s="114"/>
    </row>
    <row r="889" ht="15.75" customHeight="1">
      <c r="D889" s="128"/>
      <c r="E889" s="128"/>
      <c r="G889" s="115"/>
      <c r="H889" s="9"/>
      <c r="J889" s="116"/>
      <c r="K889" s="116"/>
      <c r="L889" s="114"/>
    </row>
    <row r="890" ht="15.75" customHeight="1">
      <c r="D890" s="128"/>
      <c r="E890" s="128"/>
      <c r="G890" s="115"/>
      <c r="H890" s="9"/>
      <c r="J890" s="116"/>
      <c r="K890" s="116"/>
      <c r="L890" s="114"/>
    </row>
    <row r="891" ht="15.75" customHeight="1">
      <c r="D891" s="128"/>
      <c r="E891" s="128"/>
      <c r="G891" s="115"/>
      <c r="H891" s="9"/>
      <c r="J891" s="116"/>
      <c r="K891" s="116"/>
      <c r="L891" s="114"/>
    </row>
    <row r="892" ht="15.75" customHeight="1">
      <c r="D892" s="128"/>
      <c r="E892" s="128"/>
      <c r="G892" s="115"/>
      <c r="H892" s="9"/>
      <c r="J892" s="116"/>
      <c r="K892" s="116"/>
      <c r="L892" s="114"/>
    </row>
    <row r="893" ht="15.75" customHeight="1">
      <c r="D893" s="128"/>
      <c r="E893" s="128"/>
      <c r="G893" s="115"/>
      <c r="H893" s="9"/>
      <c r="J893" s="116"/>
      <c r="K893" s="116"/>
      <c r="L893" s="114"/>
    </row>
    <row r="894" ht="15.75" customHeight="1">
      <c r="D894" s="128"/>
      <c r="E894" s="128"/>
      <c r="G894" s="115"/>
      <c r="H894" s="9"/>
      <c r="J894" s="116"/>
      <c r="K894" s="116"/>
      <c r="L894" s="114"/>
    </row>
    <row r="895" ht="15.75" customHeight="1">
      <c r="D895" s="128"/>
      <c r="E895" s="128"/>
      <c r="G895" s="115"/>
      <c r="H895" s="9"/>
      <c r="J895" s="116"/>
      <c r="K895" s="116"/>
      <c r="L895" s="114"/>
    </row>
    <row r="896" ht="15.75" customHeight="1">
      <c r="D896" s="128"/>
      <c r="E896" s="128"/>
      <c r="G896" s="115"/>
      <c r="H896" s="9"/>
      <c r="J896" s="116"/>
      <c r="K896" s="116"/>
      <c r="L896" s="114"/>
    </row>
    <row r="897" ht="15.75" customHeight="1">
      <c r="D897" s="128"/>
      <c r="E897" s="128"/>
      <c r="G897" s="115"/>
      <c r="H897" s="9"/>
      <c r="J897" s="116"/>
      <c r="K897" s="116"/>
      <c r="L897" s="114"/>
    </row>
    <row r="898" ht="15.75" customHeight="1">
      <c r="D898" s="128"/>
      <c r="E898" s="128"/>
      <c r="G898" s="115"/>
      <c r="H898" s="9"/>
      <c r="J898" s="116"/>
      <c r="K898" s="116"/>
      <c r="L898" s="114"/>
    </row>
    <row r="899" ht="15.75" customHeight="1">
      <c r="D899" s="128"/>
      <c r="E899" s="128"/>
      <c r="G899" s="115"/>
      <c r="H899" s="9"/>
      <c r="J899" s="116"/>
      <c r="K899" s="116"/>
      <c r="L899" s="114"/>
    </row>
    <row r="900" ht="15.75" customHeight="1">
      <c r="D900" s="128"/>
      <c r="E900" s="128"/>
      <c r="G900" s="115"/>
      <c r="H900" s="9"/>
      <c r="J900" s="116"/>
      <c r="K900" s="116"/>
      <c r="L900" s="114"/>
    </row>
    <row r="901" ht="15.75" customHeight="1">
      <c r="D901" s="128"/>
      <c r="E901" s="128"/>
      <c r="G901" s="115"/>
      <c r="H901" s="9"/>
      <c r="J901" s="116"/>
      <c r="K901" s="116"/>
      <c r="L901" s="114"/>
    </row>
    <row r="902" ht="15.75" customHeight="1">
      <c r="D902" s="128"/>
      <c r="E902" s="128"/>
      <c r="G902" s="115"/>
      <c r="H902" s="9"/>
      <c r="J902" s="116"/>
      <c r="K902" s="116"/>
      <c r="L902" s="114"/>
    </row>
    <row r="903" ht="15.75" customHeight="1">
      <c r="D903" s="128"/>
      <c r="E903" s="128"/>
      <c r="G903" s="115"/>
      <c r="H903" s="9"/>
      <c r="J903" s="116"/>
      <c r="K903" s="116"/>
      <c r="L903" s="114"/>
    </row>
    <row r="904" ht="15.75" customHeight="1">
      <c r="D904" s="128"/>
      <c r="E904" s="128"/>
      <c r="G904" s="115"/>
      <c r="H904" s="9"/>
      <c r="J904" s="116"/>
      <c r="K904" s="116"/>
      <c r="L904" s="114"/>
    </row>
    <row r="905" ht="15.75" customHeight="1">
      <c r="D905" s="128"/>
      <c r="E905" s="128"/>
      <c r="G905" s="115"/>
      <c r="H905" s="9"/>
      <c r="J905" s="116"/>
      <c r="K905" s="116"/>
      <c r="L905" s="114"/>
    </row>
    <row r="906" ht="15.75" customHeight="1">
      <c r="D906" s="128"/>
      <c r="E906" s="128"/>
      <c r="G906" s="115"/>
      <c r="H906" s="9"/>
      <c r="J906" s="116"/>
      <c r="K906" s="116"/>
      <c r="L906" s="114"/>
    </row>
    <row r="907" ht="15.75" customHeight="1">
      <c r="D907" s="128"/>
      <c r="E907" s="128"/>
      <c r="G907" s="115"/>
      <c r="H907" s="9"/>
      <c r="J907" s="116"/>
      <c r="K907" s="116"/>
      <c r="L907" s="114"/>
    </row>
    <row r="908" ht="15.75" customHeight="1">
      <c r="D908" s="128"/>
      <c r="E908" s="128"/>
      <c r="G908" s="115"/>
      <c r="H908" s="9"/>
      <c r="J908" s="116"/>
      <c r="K908" s="116"/>
      <c r="L908" s="114"/>
    </row>
    <row r="909" ht="15.75" customHeight="1">
      <c r="D909" s="128"/>
      <c r="E909" s="128"/>
      <c r="G909" s="115"/>
      <c r="H909" s="9"/>
      <c r="J909" s="116"/>
      <c r="K909" s="116"/>
      <c r="L909" s="114"/>
    </row>
    <row r="910" ht="15.75" customHeight="1">
      <c r="D910" s="128"/>
      <c r="E910" s="128"/>
      <c r="G910" s="115"/>
      <c r="H910" s="9"/>
      <c r="J910" s="116"/>
      <c r="K910" s="116"/>
      <c r="L910" s="114"/>
    </row>
    <row r="911" ht="15.75" customHeight="1">
      <c r="D911" s="128"/>
      <c r="E911" s="128"/>
      <c r="G911" s="115"/>
      <c r="H911" s="9"/>
      <c r="J911" s="116"/>
      <c r="K911" s="116"/>
      <c r="L911" s="114"/>
    </row>
    <row r="912" ht="15.75" customHeight="1">
      <c r="D912" s="128"/>
      <c r="E912" s="128"/>
      <c r="G912" s="115"/>
      <c r="H912" s="9"/>
      <c r="J912" s="116"/>
      <c r="K912" s="116"/>
      <c r="L912" s="114"/>
    </row>
    <row r="913" ht="15.75" customHeight="1">
      <c r="D913" s="128"/>
      <c r="E913" s="128"/>
      <c r="G913" s="115"/>
      <c r="H913" s="9"/>
      <c r="J913" s="116"/>
      <c r="K913" s="116"/>
      <c r="L913" s="114"/>
    </row>
    <row r="914" ht="15.75" customHeight="1">
      <c r="D914" s="128"/>
      <c r="E914" s="128"/>
      <c r="G914" s="115"/>
      <c r="H914" s="9"/>
      <c r="J914" s="116"/>
      <c r="K914" s="116"/>
      <c r="L914" s="114"/>
    </row>
    <row r="915" ht="15.75" customHeight="1">
      <c r="D915" s="128"/>
      <c r="E915" s="128"/>
      <c r="G915" s="115"/>
      <c r="H915" s="9"/>
      <c r="J915" s="116"/>
      <c r="K915" s="116"/>
      <c r="L915" s="114"/>
    </row>
    <row r="916" ht="15.75" customHeight="1">
      <c r="D916" s="128"/>
      <c r="E916" s="128"/>
      <c r="G916" s="115"/>
      <c r="H916" s="9"/>
      <c r="J916" s="116"/>
      <c r="K916" s="116"/>
      <c r="L916" s="114"/>
    </row>
    <row r="917" ht="15.75" customHeight="1">
      <c r="D917" s="128"/>
      <c r="E917" s="128"/>
      <c r="G917" s="115"/>
      <c r="H917" s="9"/>
      <c r="J917" s="116"/>
      <c r="K917" s="116"/>
      <c r="L917" s="114"/>
    </row>
    <row r="918" ht="15.75" customHeight="1">
      <c r="D918" s="128"/>
      <c r="E918" s="128"/>
      <c r="G918" s="115"/>
      <c r="H918" s="9"/>
      <c r="J918" s="116"/>
      <c r="K918" s="116"/>
      <c r="L918" s="114"/>
    </row>
    <row r="919" ht="15.75" customHeight="1">
      <c r="D919" s="128"/>
      <c r="E919" s="128"/>
      <c r="G919" s="115"/>
      <c r="H919" s="9"/>
      <c r="J919" s="116"/>
      <c r="K919" s="116"/>
      <c r="L919" s="114"/>
    </row>
    <row r="920" ht="15.75" customHeight="1">
      <c r="D920" s="128"/>
      <c r="E920" s="128"/>
      <c r="G920" s="115"/>
      <c r="H920" s="9"/>
      <c r="J920" s="116"/>
      <c r="K920" s="116"/>
      <c r="L920" s="114"/>
    </row>
    <row r="921" ht="15.75" customHeight="1">
      <c r="D921" s="128"/>
      <c r="E921" s="128"/>
      <c r="G921" s="115"/>
      <c r="H921" s="9"/>
      <c r="J921" s="116"/>
      <c r="K921" s="116"/>
      <c r="L921" s="114"/>
    </row>
    <row r="922" ht="15.75" customHeight="1">
      <c r="D922" s="128"/>
      <c r="E922" s="128"/>
      <c r="G922" s="115"/>
      <c r="H922" s="9"/>
      <c r="J922" s="116"/>
      <c r="K922" s="116"/>
      <c r="L922" s="114"/>
    </row>
    <row r="923" ht="15.75" customHeight="1">
      <c r="D923" s="128"/>
      <c r="E923" s="128"/>
      <c r="G923" s="115"/>
      <c r="H923" s="9"/>
      <c r="J923" s="116"/>
      <c r="K923" s="116"/>
      <c r="L923" s="114"/>
    </row>
    <row r="924" ht="15.75" customHeight="1">
      <c r="D924" s="128"/>
      <c r="E924" s="128"/>
      <c r="G924" s="115"/>
      <c r="H924" s="9"/>
      <c r="J924" s="116"/>
      <c r="K924" s="116"/>
      <c r="L924" s="114"/>
    </row>
    <row r="925" ht="15.75" customHeight="1">
      <c r="D925" s="128"/>
      <c r="E925" s="128"/>
      <c r="G925" s="115"/>
      <c r="H925" s="9"/>
      <c r="J925" s="116"/>
      <c r="K925" s="116"/>
      <c r="L925" s="114"/>
    </row>
    <row r="926" ht="15.75" customHeight="1">
      <c r="D926" s="128"/>
      <c r="E926" s="128"/>
      <c r="G926" s="115"/>
      <c r="H926" s="9"/>
      <c r="J926" s="116"/>
      <c r="K926" s="116"/>
      <c r="L926" s="114"/>
    </row>
    <row r="927" ht="15.75" customHeight="1">
      <c r="D927" s="128"/>
      <c r="E927" s="128"/>
      <c r="G927" s="115"/>
      <c r="H927" s="9"/>
      <c r="J927" s="116"/>
      <c r="K927" s="116"/>
      <c r="L927" s="114"/>
    </row>
    <row r="928" ht="15.75" customHeight="1">
      <c r="D928" s="128"/>
      <c r="E928" s="128"/>
      <c r="G928" s="115"/>
      <c r="H928" s="9"/>
      <c r="J928" s="116"/>
      <c r="K928" s="116"/>
      <c r="L928" s="114"/>
    </row>
    <row r="929" ht="15.75" customHeight="1">
      <c r="D929" s="128"/>
      <c r="E929" s="128"/>
      <c r="G929" s="115"/>
      <c r="H929" s="9"/>
      <c r="J929" s="116"/>
      <c r="K929" s="116"/>
      <c r="L929" s="114"/>
    </row>
    <row r="930" ht="15.75" customHeight="1">
      <c r="D930" s="128"/>
      <c r="E930" s="128"/>
      <c r="G930" s="115"/>
      <c r="H930" s="9"/>
      <c r="J930" s="116"/>
      <c r="K930" s="116"/>
      <c r="L930" s="114"/>
    </row>
    <row r="931" ht="15.75" customHeight="1">
      <c r="D931" s="128"/>
      <c r="E931" s="128"/>
      <c r="G931" s="115"/>
      <c r="H931" s="9"/>
      <c r="J931" s="116"/>
      <c r="K931" s="116"/>
      <c r="L931" s="114"/>
    </row>
    <row r="932" ht="15.75" customHeight="1">
      <c r="D932" s="128"/>
      <c r="E932" s="128"/>
      <c r="G932" s="115"/>
      <c r="H932" s="9"/>
      <c r="J932" s="116"/>
      <c r="K932" s="116"/>
      <c r="L932" s="114"/>
    </row>
    <row r="933" ht="15.75" customHeight="1">
      <c r="D933" s="128"/>
      <c r="E933" s="128"/>
      <c r="G933" s="115"/>
      <c r="H933" s="9"/>
      <c r="J933" s="116"/>
      <c r="K933" s="116"/>
      <c r="L933" s="114"/>
    </row>
    <row r="934" ht="15.75" customHeight="1">
      <c r="D934" s="128"/>
      <c r="E934" s="128"/>
      <c r="G934" s="115"/>
      <c r="H934" s="9"/>
      <c r="J934" s="116"/>
      <c r="K934" s="116"/>
      <c r="L934" s="114"/>
    </row>
    <row r="935" ht="15.75" customHeight="1">
      <c r="D935" s="128"/>
      <c r="E935" s="128"/>
      <c r="G935" s="115"/>
      <c r="H935" s="9"/>
      <c r="J935" s="116"/>
      <c r="K935" s="116"/>
      <c r="L935" s="114"/>
    </row>
    <row r="936" ht="15.75" customHeight="1">
      <c r="D936" s="128"/>
      <c r="E936" s="128"/>
      <c r="G936" s="115"/>
      <c r="H936" s="9"/>
      <c r="J936" s="116"/>
      <c r="K936" s="116"/>
      <c r="L936" s="114"/>
    </row>
    <row r="937" ht="15.75" customHeight="1">
      <c r="D937" s="128"/>
      <c r="E937" s="128"/>
      <c r="G937" s="115"/>
      <c r="H937" s="9"/>
      <c r="J937" s="116"/>
      <c r="K937" s="116"/>
      <c r="L937" s="114"/>
    </row>
    <row r="938" ht="15.75" customHeight="1">
      <c r="D938" s="128"/>
      <c r="E938" s="128"/>
      <c r="G938" s="115"/>
      <c r="H938" s="9"/>
      <c r="J938" s="116"/>
      <c r="K938" s="116"/>
      <c r="L938" s="114"/>
    </row>
    <row r="939" ht="15.75" customHeight="1">
      <c r="D939" s="128"/>
      <c r="E939" s="128"/>
      <c r="G939" s="115"/>
      <c r="H939" s="9"/>
      <c r="J939" s="116"/>
      <c r="K939" s="116"/>
      <c r="L939" s="114"/>
    </row>
    <row r="940" ht="15.75" customHeight="1">
      <c r="D940" s="128"/>
      <c r="E940" s="128"/>
      <c r="G940" s="115"/>
      <c r="H940" s="9"/>
      <c r="J940" s="116"/>
      <c r="K940" s="116"/>
      <c r="L940" s="114"/>
    </row>
    <row r="941" ht="15.75" customHeight="1">
      <c r="D941" s="128"/>
      <c r="E941" s="128"/>
      <c r="G941" s="115"/>
      <c r="H941" s="9"/>
      <c r="J941" s="116"/>
      <c r="K941" s="116"/>
      <c r="L941" s="114"/>
    </row>
    <row r="942" ht="15.75" customHeight="1">
      <c r="D942" s="128"/>
      <c r="E942" s="128"/>
      <c r="G942" s="115"/>
      <c r="H942" s="9"/>
      <c r="J942" s="116"/>
      <c r="K942" s="116"/>
      <c r="L942" s="114"/>
    </row>
    <row r="943" ht="15.75" customHeight="1">
      <c r="D943" s="128"/>
      <c r="E943" s="128"/>
      <c r="G943" s="115"/>
      <c r="H943" s="9"/>
      <c r="J943" s="116"/>
      <c r="K943" s="116"/>
      <c r="L943" s="114"/>
    </row>
    <row r="944" ht="15.75" customHeight="1">
      <c r="D944" s="128"/>
      <c r="E944" s="128"/>
      <c r="G944" s="115"/>
      <c r="H944" s="9"/>
      <c r="J944" s="116"/>
      <c r="K944" s="116"/>
      <c r="L944" s="114"/>
    </row>
    <row r="945" ht="15.75" customHeight="1">
      <c r="D945" s="128"/>
      <c r="E945" s="128"/>
      <c r="G945" s="115"/>
      <c r="H945" s="9"/>
      <c r="J945" s="116"/>
      <c r="K945" s="116"/>
      <c r="L945" s="114"/>
    </row>
    <row r="946" ht="15.75" customHeight="1">
      <c r="D946" s="128"/>
      <c r="E946" s="128"/>
      <c r="G946" s="115"/>
      <c r="H946" s="9"/>
      <c r="J946" s="116"/>
      <c r="K946" s="116"/>
      <c r="L946" s="114"/>
    </row>
    <row r="947" ht="15.75" customHeight="1">
      <c r="D947" s="128"/>
      <c r="E947" s="128"/>
      <c r="G947" s="115"/>
      <c r="H947" s="9"/>
      <c r="J947" s="116"/>
      <c r="K947" s="116"/>
      <c r="L947" s="114"/>
    </row>
    <row r="948" ht="15.75" customHeight="1">
      <c r="D948" s="128"/>
      <c r="E948" s="128"/>
      <c r="G948" s="115"/>
      <c r="H948" s="9"/>
      <c r="J948" s="116"/>
      <c r="K948" s="116"/>
      <c r="L948" s="114"/>
    </row>
    <row r="949" ht="15.75" customHeight="1">
      <c r="D949" s="128"/>
      <c r="E949" s="128"/>
      <c r="G949" s="115"/>
      <c r="H949" s="9"/>
      <c r="J949" s="116"/>
      <c r="K949" s="116"/>
      <c r="L949" s="114"/>
    </row>
    <row r="950" ht="15.75" customHeight="1">
      <c r="D950" s="128"/>
      <c r="E950" s="128"/>
      <c r="G950" s="115"/>
      <c r="H950" s="9"/>
      <c r="J950" s="116"/>
      <c r="K950" s="116"/>
      <c r="L950" s="114"/>
    </row>
    <row r="951" ht="15.75" customHeight="1">
      <c r="D951" s="128"/>
      <c r="E951" s="128"/>
      <c r="G951" s="115"/>
      <c r="H951" s="9"/>
      <c r="J951" s="116"/>
      <c r="K951" s="116"/>
      <c r="L951" s="114"/>
    </row>
    <row r="952" ht="15.75" customHeight="1">
      <c r="D952" s="128"/>
      <c r="E952" s="128"/>
      <c r="G952" s="115"/>
      <c r="H952" s="9"/>
      <c r="J952" s="116"/>
      <c r="K952" s="116"/>
      <c r="L952" s="114"/>
    </row>
    <row r="953" ht="15.75" customHeight="1">
      <c r="D953" s="128"/>
      <c r="E953" s="128"/>
      <c r="G953" s="115"/>
      <c r="H953" s="9"/>
      <c r="J953" s="116"/>
      <c r="K953" s="116"/>
      <c r="L953" s="114"/>
    </row>
    <row r="954" ht="15.75" customHeight="1">
      <c r="D954" s="128"/>
      <c r="E954" s="128"/>
      <c r="G954" s="115"/>
      <c r="H954" s="9"/>
      <c r="J954" s="116"/>
      <c r="K954" s="116"/>
      <c r="L954" s="114"/>
    </row>
    <row r="955" ht="15.75" customHeight="1">
      <c r="D955" s="128"/>
      <c r="E955" s="128"/>
      <c r="G955" s="115"/>
      <c r="H955" s="9"/>
      <c r="J955" s="116"/>
      <c r="K955" s="116"/>
      <c r="L955" s="114"/>
    </row>
    <row r="956" ht="15.75" customHeight="1">
      <c r="D956" s="128"/>
      <c r="E956" s="128"/>
      <c r="G956" s="115"/>
      <c r="H956" s="9"/>
      <c r="J956" s="116"/>
      <c r="K956" s="116"/>
      <c r="L956" s="114"/>
    </row>
    <row r="957" ht="15.75" customHeight="1">
      <c r="D957" s="128"/>
      <c r="E957" s="128"/>
      <c r="G957" s="115"/>
      <c r="H957" s="9"/>
      <c r="J957" s="116"/>
      <c r="K957" s="116"/>
      <c r="L957" s="114"/>
    </row>
    <row r="958" ht="15.75" customHeight="1">
      <c r="D958" s="128"/>
      <c r="E958" s="128"/>
      <c r="G958" s="115"/>
      <c r="H958" s="9"/>
      <c r="J958" s="116"/>
      <c r="K958" s="116"/>
      <c r="L958" s="114"/>
    </row>
    <row r="959" ht="15.75" customHeight="1">
      <c r="D959" s="128"/>
      <c r="E959" s="128"/>
      <c r="G959" s="115"/>
      <c r="H959" s="9"/>
      <c r="J959" s="116"/>
      <c r="K959" s="116"/>
      <c r="L959" s="114"/>
    </row>
    <row r="960" ht="15.75" customHeight="1">
      <c r="D960" s="128"/>
      <c r="E960" s="128"/>
      <c r="G960" s="115"/>
      <c r="H960" s="9"/>
      <c r="J960" s="116"/>
      <c r="K960" s="116"/>
      <c r="L960" s="114"/>
    </row>
    <row r="961" ht="15.75" customHeight="1">
      <c r="D961" s="128"/>
      <c r="E961" s="128"/>
      <c r="G961" s="115"/>
      <c r="H961" s="9"/>
      <c r="J961" s="116"/>
      <c r="K961" s="116"/>
      <c r="L961" s="114"/>
    </row>
    <row r="962" ht="15.75" customHeight="1">
      <c r="D962" s="128"/>
      <c r="E962" s="128"/>
      <c r="G962" s="115"/>
      <c r="H962" s="9"/>
      <c r="J962" s="116"/>
      <c r="K962" s="116"/>
      <c r="L962" s="114"/>
    </row>
    <row r="963" ht="15.75" customHeight="1">
      <c r="D963" s="128"/>
      <c r="E963" s="128"/>
      <c r="G963" s="115"/>
      <c r="H963" s="9"/>
      <c r="J963" s="116"/>
      <c r="K963" s="116"/>
      <c r="L963" s="114"/>
    </row>
    <row r="964" ht="15.75" customHeight="1">
      <c r="D964" s="128"/>
      <c r="E964" s="128"/>
      <c r="G964" s="115"/>
      <c r="H964" s="9"/>
      <c r="J964" s="116"/>
      <c r="K964" s="116"/>
      <c r="L964" s="114"/>
    </row>
    <row r="965" ht="15.75" customHeight="1">
      <c r="D965" s="128"/>
      <c r="E965" s="128"/>
      <c r="G965" s="115"/>
      <c r="H965" s="9"/>
      <c r="J965" s="116"/>
      <c r="K965" s="116"/>
      <c r="L965" s="114"/>
    </row>
    <row r="966" ht="15.75" customHeight="1">
      <c r="D966" s="128"/>
      <c r="E966" s="128"/>
      <c r="G966" s="115"/>
      <c r="H966" s="9"/>
      <c r="J966" s="116"/>
      <c r="K966" s="116"/>
      <c r="L966" s="114"/>
    </row>
    <row r="967" ht="15.75" customHeight="1">
      <c r="D967" s="128"/>
      <c r="E967" s="128"/>
      <c r="G967" s="115"/>
      <c r="H967" s="9"/>
      <c r="J967" s="116"/>
      <c r="K967" s="116"/>
      <c r="L967" s="114"/>
    </row>
    <row r="968" ht="15.75" customHeight="1">
      <c r="D968" s="128"/>
      <c r="E968" s="128"/>
      <c r="G968" s="115"/>
      <c r="H968" s="9"/>
      <c r="J968" s="116"/>
      <c r="K968" s="116"/>
      <c r="L968" s="114"/>
    </row>
    <row r="969" ht="15.75" customHeight="1">
      <c r="D969" s="128"/>
      <c r="E969" s="128"/>
      <c r="G969" s="115"/>
      <c r="H969" s="9"/>
      <c r="J969" s="116"/>
      <c r="K969" s="116"/>
      <c r="L969" s="114"/>
    </row>
    <row r="970" ht="15.75" customHeight="1">
      <c r="D970" s="128"/>
      <c r="E970" s="128"/>
      <c r="G970" s="115"/>
      <c r="H970" s="9"/>
      <c r="J970" s="116"/>
      <c r="K970" s="116"/>
      <c r="L970" s="114"/>
    </row>
    <row r="971" ht="15.75" customHeight="1">
      <c r="D971" s="128"/>
      <c r="E971" s="128"/>
      <c r="G971" s="115"/>
      <c r="H971" s="9"/>
      <c r="J971" s="116"/>
      <c r="K971" s="116"/>
      <c r="L971" s="114"/>
    </row>
  </sheetData>
  <dataValidations>
    <dataValidation type="list" allowBlank="1" sqref="C3:C705">
      <formula1>ENSEIGNES!$B$2:$B971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1.43"/>
    <col customWidth="1" min="2" max="2" width="18.14"/>
    <col customWidth="1" min="3" max="3" width="16.14"/>
    <col customWidth="1" min="4" max="5" width="16.29"/>
    <col customWidth="1" min="6" max="6" width="14.0"/>
    <col customWidth="1" min="7" max="7" width="13.0"/>
    <col customWidth="1" min="8" max="8" width="13.43"/>
    <col customWidth="1" min="9" max="9" width="10.0"/>
    <col customWidth="1" min="10" max="10" width="12.43"/>
    <col customWidth="1" min="11" max="11" width="13.29"/>
    <col customWidth="1" min="12" max="13" width="10.0"/>
    <col customWidth="1" min="14" max="25" width="8.71"/>
  </cols>
  <sheetData>
    <row r="1">
      <c r="A1" s="1" t="s">
        <v>1</v>
      </c>
    </row>
    <row r="2">
      <c r="A2" s="4" t="s">
        <v>4</v>
      </c>
      <c r="B2" s="17" t="str">
        <f>PARAMETRES!C13</f>
        <v>Août</v>
      </c>
      <c r="C2" s="17">
        <f>PARAMETRES!C14</f>
        <v>2026</v>
      </c>
    </row>
    <row r="4">
      <c r="A4" s="19" t="s">
        <v>31</v>
      </c>
      <c r="B4" s="12"/>
      <c r="C4" s="12"/>
      <c r="D4" s="12"/>
      <c r="E4" s="12"/>
    </row>
    <row r="5">
      <c r="A5" s="25" t="s">
        <v>36</v>
      </c>
      <c r="B5" s="25" t="s">
        <v>40</v>
      </c>
      <c r="C5" s="25" t="s">
        <v>42</v>
      </c>
      <c r="D5" s="25" t="s">
        <v>43</v>
      </c>
      <c r="E5" s="25" t="s">
        <v>45</v>
      </c>
    </row>
    <row r="6">
      <c r="A6" s="27" t="s">
        <v>46</v>
      </c>
      <c r="B6" s="29">
        <f>SUMIFS(VENTES!F3:F476,VENTES!J3:J476,PARAMETRES!C16,VENTES!K3:K476,PARAMETRES!C14)</f>
        <v>13706.27</v>
      </c>
      <c r="C6" s="29">
        <f>SUMIFS(VENTES!F3:F476,VENTES!J3:J476,IF(PARAMETRES!C16=1,12,PARAMETRES!C16-1),VENTES!K3:K476,IF(PARAMETRES!C16=1,PARAMETRES!C14-1,PARAMETRES!C14))</f>
        <v>23380.51</v>
      </c>
      <c r="D6" s="29">
        <f t="shared" ref="D6:D11" si="1">B6-C6</f>
        <v>-9674.24</v>
      </c>
      <c r="E6" s="33">
        <f t="shared" ref="E6:E11" si="2">IF(C6&gt;0,(B6-C6)/C6,0)</f>
        <v>-0.4137736944</v>
      </c>
    </row>
    <row r="7">
      <c r="A7" s="27" t="s">
        <v>70</v>
      </c>
      <c r="B7" s="29">
        <f>SUMIFS(VENTES!I3:I476,VENTES!J3:J476,PARAMETRES!C16,VENTES!K3:K476,PARAMETRES!C14)</f>
        <v>685.3135</v>
      </c>
      <c r="C7" s="29">
        <f>SUMIFS(VENTES!I3:I476,VENTES!J3:J476,IF(PARAMETRES!C16=1,12,PARAMETRES!C16-1),VENTES!K3:K476,IF(PARAMETRES!C16=1,PARAMETRES!C14-1,PARAMETRES!C14))</f>
        <v>1235.3171</v>
      </c>
      <c r="D7" s="29">
        <f t="shared" si="1"/>
        <v>-550.0036</v>
      </c>
      <c r="E7" s="33">
        <f t="shared" si="2"/>
        <v>-0.4452327261</v>
      </c>
    </row>
    <row r="8">
      <c r="A8" s="27" t="s">
        <v>85</v>
      </c>
      <c r="B8" s="27">
        <f>COUNTIFS(VENTES!J3:J476,PARAMETRES!C16,VENTES!K3:K476,PARAMETRES!C14,VENTES!D3:D476,"Direct")</f>
        <v>0</v>
      </c>
      <c r="C8" s="27">
        <f>COUNTIFS(VENTES!J3:J476,IF(PARAMETRES!C16=1,12,PARAMETRES!C16-1),VENTES!K3:K476,IF(PARAMETRES!C16=1,PARAMETRES!C14-1,PARAMETRES!C14),VENTES!D3:D476,"Direct")</f>
        <v>7</v>
      </c>
      <c r="D8" s="27">
        <f t="shared" si="1"/>
        <v>-7</v>
      </c>
      <c r="E8" s="33">
        <f t="shared" si="2"/>
        <v>-1</v>
      </c>
    </row>
    <row r="9">
      <c r="A9" s="27" t="s">
        <v>96</v>
      </c>
      <c r="B9" s="27">
        <f>COUNTIFS(VENTES!J3:J476,PARAMETRES!C16,VENTES!K3:K476,PARAMETRES!C14,VENTES!D3:D476,"Centrale")</f>
        <v>36</v>
      </c>
      <c r="C9" s="27">
        <f>COUNTIFS(VENTES!J3:J476,IF(PARAMETRES!C16=1,12,PARAMETRES!C16-1),VENTES!K3:K476,IF(PARAMETRES!C16=1,PARAMETRES!C14-1,PARAMETRES!C14),VENTES!D3:D476,"Centrale")</f>
        <v>49</v>
      </c>
      <c r="D9" s="27">
        <f t="shared" si="1"/>
        <v>-13</v>
      </c>
      <c r="E9" s="33">
        <f t="shared" si="2"/>
        <v>-0.2653061224</v>
      </c>
    </row>
    <row r="10">
      <c r="A10" s="27" t="s">
        <v>101</v>
      </c>
      <c r="B10" s="45">
        <f t="shared" ref="B10:C10" si="3">B8+B9</f>
        <v>36</v>
      </c>
      <c r="C10" s="27">
        <f t="shared" si="3"/>
        <v>56</v>
      </c>
      <c r="D10" s="27">
        <f t="shared" si="1"/>
        <v>-20</v>
      </c>
      <c r="E10" s="33">
        <f t="shared" si="2"/>
        <v>-0.3571428571</v>
      </c>
    </row>
    <row r="11">
      <c r="A11" s="27" t="s">
        <v>103</v>
      </c>
      <c r="B11" s="29">
        <f>IF(B10&gt;0,B6/B10,0)</f>
        <v>380.7297222</v>
      </c>
      <c r="C11" s="29">
        <f>IF(C10&gt;0,C6/C10,0)</f>
        <v>417.5091071</v>
      </c>
      <c r="D11" s="29">
        <f t="shared" si="1"/>
        <v>-36.77938492</v>
      </c>
      <c r="E11" s="33">
        <f t="shared" si="2"/>
        <v>-0.08809241353</v>
      </c>
    </row>
    <row r="14">
      <c r="A14" s="37" t="s">
        <v>104</v>
      </c>
      <c r="B14" s="12"/>
      <c r="C14" s="12"/>
      <c r="D14" s="12"/>
      <c r="E14" s="12"/>
      <c r="F14" s="12"/>
      <c r="G14" s="12"/>
      <c r="H14" s="12"/>
      <c r="I14" s="12"/>
      <c r="J14" s="12"/>
      <c r="K14" s="13"/>
    </row>
    <row r="15" ht="30.0" customHeight="1">
      <c r="A15" s="46" t="s">
        <v>6</v>
      </c>
      <c r="B15" s="47" t="s">
        <v>106</v>
      </c>
      <c r="C15" s="47" t="s">
        <v>107</v>
      </c>
      <c r="D15" s="47" t="s">
        <v>108</v>
      </c>
      <c r="E15" s="47" t="s">
        <v>109</v>
      </c>
      <c r="F15" s="47" t="s">
        <v>110</v>
      </c>
      <c r="G15" s="47" t="s">
        <v>111</v>
      </c>
      <c r="H15" s="47" t="s">
        <v>112</v>
      </c>
      <c r="I15" s="48" t="s">
        <v>113</v>
      </c>
      <c r="J15" s="49" t="s">
        <v>114</v>
      </c>
      <c r="K15" s="49" t="s">
        <v>115</v>
      </c>
    </row>
    <row r="16">
      <c r="A16" s="27" t="s">
        <v>29</v>
      </c>
      <c r="B16" s="29">
        <f>SUMIFS(VENTES!F3:F476,VENTES!E3:E476,"CAP FRAIS",VENTES!D3:D476,"Direct",VENTES!J3:J476,PARAMETRES!C16,VENTES!K3:K476,PARAMETRES!C14)</f>
        <v>0</v>
      </c>
      <c r="C16" s="50">
        <f>SUMIFS(VENTES!F3:F476,VENTES!E3:E476,"CAP FRAIS",VENTES!D3:D476,"Centrale",VENTES!J3:J476,PARAMETRES!C16,VENTES!K3:K476,PARAMETRES!C14)</f>
        <v>8054.09</v>
      </c>
      <c r="D16" s="51">
        <f t="shared" ref="D16:D19" si="5">B16+C16</f>
        <v>8054.09</v>
      </c>
      <c r="E16" s="50">
        <f>SUMIFS(VENTES!I3:I476,VENTES!E3:E476,"CAP FRAIS",VENTES!J3:J476,PARAMETRES!C16,VENTES!K3:K476,PARAMETRES!C14)</f>
        <v>402.7045</v>
      </c>
      <c r="F16" s="27">
        <f>COUNTIFS(VENTES!E3:E476,"CAP FRAIS",VENTES!D3:D476,"Direct",VENTES!J3:J476,PARAMETRES!C16,VENTES!K3:K476,PARAMETRES!C14)</f>
        <v>0</v>
      </c>
      <c r="G16" s="27">
        <f>COUNTIFS(VENTES!E3:E476,"CAP FRAIS",VENTES!D3:D476,"Centrale",VENTES!J3:J476,PARAMETRES!C16,VENTES!K3:K476,PARAMETRES!C14)</f>
        <v>19</v>
      </c>
      <c r="H16" s="52">
        <f t="shared" ref="H16:H19" si="6">F16+G16</f>
        <v>19</v>
      </c>
      <c r="I16" s="33">
        <f t="shared" ref="I16:I19" si="7">IF($B$6&gt;0,D16/$B$6,0)</f>
        <v>0.587620848</v>
      </c>
      <c r="J16" s="54">
        <f t="shared" ref="J16:K16" si="4">IF(F16&gt;0,B16/F16,0)</f>
        <v>0</v>
      </c>
      <c r="K16" s="54">
        <f t="shared" si="4"/>
        <v>423.8994737</v>
      </c>
    </row>
    <row r="17">
      <c r="A17" s="27" t="s">
        <v>25</v>
      </c>
      <c r="B17" s="29">
        <f>SUMIFS(VENTES!F3:F476,VENTES!E3:E476,"BROCARD",VENTES!D3:D476,"Direct",VENTES!J3:J476,PARAMETRES!C16,VENTES!K3:K476,PARAMETRES!C14)</f>
        <v>0</v>
      </c>
      <c r="C17" s="29">
        <f>SUMIFS(VENTES!F3:F476,VENTES!E3:E476,"BROCARD",VENTES!D3:D476,"Centrale",VENTES!J3:J476,PARAMETRES!C16,VENTES!K3:K476,PARAMETRES!C14)</f>
        <v>5652.18</v>
      </c>
      <c r="D17" s="51">
        <f t="shared" si="5"/>
        <v>5652.18</v>
      </c>
      <c r="E17" s="50">
        <f>SUMIFS(VENTES!I3:I476,VENTES!E3:E476,"BROCARD",VENTES!J3:J476,PARAMETRES!C16,VENTES!K3:K476,PARAMETRES!C14)</f>
        <v>282.609</v>
      </c>
      <c r="F17" s="27">
        <f>COUNTIFS(VENTES!E3:E476,"BROCARD",VENTES!D3:D476,"Direct",VENTES!J3:J476,PARAMETRES!C16,VENTES!K3:K476,PARAMETRES!C14)</f>
        <v>0</v>
      </c>
      <c r="G17" s="27">
        <f>COUNTIFS(VENTES!E3:E476,"BROCARD",VENTES!D3:D476,"Centrale",VENTES!J3:J476,PARAMETRES!C16,VENTES!K3:K476,PARAMETRES!C14)</f>
        <v>17</v>
      </c>
      <c r="H17" s="52">
        <f t="shared" si="6"/>
        <v>17</v>
      </c>
      <c r="I17" s="33">
        <f t="shared" si="7"/>
        <v>0.412379152</v>
      </c>
      <c r="J17" s="54">
        <f t="shared" ref="J17:K17" si="8">IF(F17&gt;0,B17/F17,0)</f>
        <v>0</v>
      </c>
      <c r="K17" s="54">
        <f t="shared" si="8"/>
        <v>332.4811765</v>
      </c>
    </row>
    <row r="18" ht="15.75" customHeight="1">
      <c r="A18" s="27" t="s">
        <v>63</v>
      </c>
      <c r="B18" s="50">
        <f>SUMIFS(VENTES!F3:F476,VENTES!E3:E476,"GMA GROUP",VENTES!D3:D476,"Direct",VENTES!J3:J476,PARAMETRES!C16,VENTES!K3:K476,PARAMETRES!C14)</f>
        <v>0</v>
      </c>
      <c r="C18" s="50">
        <f>SUMIFS(VENTES!F3:F476,VENTES!E3:E476,"GMA GROUP",VENTES!D3:D476,"Centrale",VENTES!J3:J476,PARAMETRES!C16,VENTES!K3:K476,PARAMETRES!C14)</f>
        <v>0</v>
      </c>
      <c r="D18" s="51">
        <f t="shared" si="5"/>
        <v>0</v>
      </c>
      <c r="E18" s="50">
        <f>SUMIFS(VENTES!I3:I476,VENTES!E3:E476,"GMA GROUP",VENTES!J3:J476,PARAMETRES!C16,VENTES!K3:K476,PARAMETRES!C14)</f>
        <v>0</v>
      </c>
      <c r="F18" s="27">
        <f>COUNTIFS(VENTES!E3:E476,"GMA GROUP",VENTES!D3:D476,"Direct",VENTES!J3:J476,PARAMETRES!C16,VENTES!K3:K476,PARAMETRES!C14)</f>
        <v>0</v>
      </c>
      <c r="G18" s="27">
        <f>COUNTIFS(VENTES!E3:E476,"GMA GROUP",VENTES!D3:D476,"Centrale",VENTES!J3:J476,PARAMETRES!C16,VENTES!K3:K476,PARAMETRES!C14)</f>
        <v>0</v>
      </c>
      <c r="H18" s="52">
        <f t="shared" si="6"/>
        <v>0</v>
      </c>
      <c r="I18" s="33">
        <f t="shared" si="7"/>
        <v>0</v>
      </c>
      <c r="J18" s="54">
        <f t="shared" ref="J18:K18" si="9">IF(F18&gt;0,B18/F18,0)</f>
        <v>0</v>
      </c>
      <c r="K18" s="54">
        <f t="shared" si="9"/>
        <v>0</v>
      </c>
    </row>
    <row r="19" ht="15.75" customHeight="1">
      <c r="A19" s="27" t="s">
        <v>65</v>
      </c>
      <c r="B19" s="50">
        <f>SUMIFS(VENTES!F3:F476,VENTES!E3:E476,"SCHLESSER",VENTES!D3:D476,"Direct",VENTES!J3:J476,PARAMETRES!C16,VENTES!K3:K476,PARAMETRES!C14)</f>
        <v>0</v>
      </c>
      <c r="C19" s="50">
        <f>SUMIFS(VENTES!F3:F476,VENTES!E3:E476,"SCHLESSER",VENTES!D3:D476,"Centrale",VENTES!J3:J476,PARAMETRES!C16,VENTES!K3:K476,PARAMETRES!C14)</f>
        <v>0</v>
      </c>
      <c r="D19" s="51">
        <f t="shared" si="5"/>
        <v>0</v>
      </c>
      <c r="E19" s="50">
        <f>SUMIFS(VENTES!I3:I476,VENTES!E3:E476,"SCHLESSER",VENTES!J3:J476,PARAMETRES!C16,VENTES!K3:K476,PARAMETRES!C14)</f>
        <v>0</v>
      </c>
      <c r="F19" s="27">
        <f>COUNTIFS(VENTES!E3:E476,"SCHLESSER",VENTES!D3:D476,"Direct",VENTES!J3:J476,PARAMETRES!C16,VENTES!K3:K476,PARAMETRES!C14)</f>
        <v>0</v>
      </c>
      <c r="G19" s="27">
        <f>COUNTIFS(VENTES!E3:E476,"SCHLESSER",VENTES!D3:D476,"Centrale",VENTES!J3:J476,PARAMETRES!C16,VENTES!K3:K476,PARAMETRES!C14)</f>
        <v>0</v>
      </c>
      <c r="H19" s="52">
        <f t="shared" si="6"/>
        <v>0</v>
      </c>
      <c r="I19" s="33">
        <f t="shared" si="7"/>
        <v>0</v>
      </c>
      <c r="J19" s="54">
        <f t="shared" ref="J19:K19" si="10">IF(F19&gt;0,B19/F19,0)</f>
        <v>0</v>
      </c>
      <c r="K19" s="54">
        <f t="shared" si="10"/>
        <v>0</v>
      </c>
    </row>
    <row r="20" ht="15.75" customHeight="1">
      <c r="A20" s="63" t="s">
        <v>141</v>
      </c>
      <c r="B20" s="64">
        <f t="shared" ref="B20:I20" si="11">SUM(B16:B19)</f>
        <v>0</v>
      </c>
      <c r="C20" s="64">
        <f t="shared" si="11"/>
        <v>13706.27</v>
      </c>
      <c r="D20" s="64">
        <f t="shared" si="11"/>
        <v>13706.27</v>
      </c>
      <c r="E20" s="64">
        <f t="shared" si="11"/>
        <v>685.3135</v>
      </c>
      <c r="F20" s="63">
        <f t="shared" si="11"/>
        <v>0</v>
      </c>
      <c r="G20" s="63">
        <f t="shared" si="11"/>
        <v>36</v>
      </c>
      <c r="H20" s="63">
        <f t="shared" si="11"/>
        <v>36</v>
      </c>
      <c r="I20" s="65">
        <f t="shared" si="11"/>
        <v>1</v>
      </c>
      <c r="J20" s="66">
        <f t="shared" ref="J20:K20" si="12">IF(F20&gt;0,B20/F20,0)</f>
        <v>0</v>
      </c>
      <c r="K20" s="66">
        <f t="shared" si="12"/>
        <v>380.7297222</v>
      </c>
    </row>
    <row r="21" ht="15.75" customHeight="1"/>
    <row r="22" ht="15.75" customHeight="1"/>
    <row r="23" ht="15.75" customHeight="1">
      <c r="A23" s="67" t="s">
        <v>143</v>
      </c>
      <c r="B23" s="68"/>
      <c r="C23" s="68"/>
      <c r="D23" s="68"/>
    </row>
    <row r="24" ht="15.75" customHeight="1">
      <c r="A24" s="25" t="s">
        <v>6</v>
      </c>
      <c r="B24" s="69">
        <v>45962.0</v>
      </c>
      <c r="C24" s="69">
        <v>45992.0</v>
      </c>
      <c r="D24" s="70" t="s">
        <v>144</v>
      </c>
      <c r="E24" s="70" t="s">
        <v>145</v>
      </c>
      <c r="F24" s="70" t="s">
        <v>146</v>
      </c>
      <c r="G24" s="70" t="s">
        <v>147</v>
      </c>
      <c r="H24" s="70" t="s">
        <v>148</v>
      </c>
      <c r="I24" s="70" t="s">
        <v>149</v>
      </c>
      <c r="J24" s="70" t="s">
        <v>150</v>
      </c>
      <c r="K24" s="70" t="s">
        <v>151</v>
      </c>
      <c r="L24" s="70" t="s">
        <v>152</v>
      </c>
      <c r="M24" s="70" t="s">
        <v>153</v>
      </c>
      <c r="N24" s="70" t="s">
        <v>154</v>
      </c>
      <c r="O24" s="70" t="s">
        <v>155</v>
      </c>
    </row>
    <row r="25" ht="15.75" customHeight="1">
      <c r="A25" s="27" t="s">
        <v>29</v>
      </c>
      <c r="B25" s="54">
        <f>IFERROR(
  SUMIFS(
    VENTES!F:F , VENTES!E:E , $A25 ,
    VENTES!D:D , "Centrale" ,
    VENTES!J:J , B$30 ,
    VENTES!K:K , B$29
  ),
0)
</f>
        <v>0</v>
      </c>
      <c r="C25" s="54">
        <f>IFERROR(SUMIFS(VENTES!F:F,VENTES!E:E,$A25,VENTES!D:D,"Centrale",VENTES!J:J,12,VENTES!K:K,2025),0)
</f>
        <v>1563.68</v>
      </c>
      <c r="D25" s="54">
        <f>IFERROR(SUMIFS(VENTES!F:F,VENTES!E:E,$A31,VENTES!D:D,"Centrale",VENTES!J:J,1,VENTES!K:K,2026),0)
</f>
        <v>6968.75</v>
      </c>
      <c r="E25" s="54">
        <f>IFERROR(SUMIFS(VENTES!F:F,VENTES!E:E,$A31,VENTES!D:D,"Centrale",VENTES!J:J,2,VENTES!K:K,2026),0)
</f>
        <v>13276.37</v>
      </c>
      <c r="F25" s="54">
        <f>IFERROR(SUMIFS(VENTES!F:F,VENTES!E:E,$A31,VENTES!D:D,"Centrale",VENTES!J:J,3,VENTES!K:K,2026),0)
</f>
        <v>7770.78</v>
      </c>
      <c r="G25" s="54">
        <f>IFERROR(SUMIFS(VENTES!F:F,VENTES!E:E,$A31,VENTES!D:D,"Centrale",VENTES!J:J,4,VENTES!K:K,2026),0)
</f>
        <v>11071.21</v>
      </c>
      <c r="H25" s="54">
        <f>IFERROR(SUMIFS(VENTES!F:F,VENTES!E:E,$A31,VENTES!D:D,"Centrale",VENTES!J:J,5,VENTES!K:K,2026),0)
</f>
        <v>11974.45</v>
      </c>
      <c r="I25" s="54">
        <f>IFERROR(SUMIFS(VENTES!F:F,VENTES!E:E,$A31,VENTES!D:D,"Centrale",VENTES!J:J,6,VENTES!K:K,2026),0)
</f>
        <v>11557.54</v>
      </c>
      <c r="J25" s="71">
        <f>IFERROR(SUMIFS(VENTES!F:F,VENTES!E:E,$A31,VENTES!D:D,"Centrale",VENTES!J:J,7,VENTES!K:K,2026),0)
</f>
        <v>12388.97</v>
      </c>
      <c r="K25" s="71">
        <f>IFERROR(SUMIFS(VENTES!F:F,VENTES!E:E,$A31,VENTES!D:D,"Centrale",VENTES!J:J,8,VENTES!K:K,2026),0)
</f>
        <v>9854.86</v>
      </c>
      <c r="L25" s="71">
        <f>IFERROR(SUMIFS(VENTES!F:F,VENTES!E:E,$A31,VENTES!D:D,"Centrale",VENTES!J:J,9,VENTES!K:K,2026),0)
</f>
        <v>0</v>
      </c>
      <c r="M25" s="71">
        <f>IFERROR(SUMIFS(VENTES!F:F,VENTES!E:E,$A31,VENTES!D:D,"Centrale",VENTES!J:J,10,VENTES!K:K,2026),0)
</f>
        <v>0</v>
      </c>
      <c r="N25" s="71">
        <f>IFERROR(SUMIFS(VENTES!F:F,VENTES!E:E,$A31,VENTES!D:D,"Centrale",VENTES!J:J,11,VENTES!K:K,2026),0)
</f>
        <v>0</v>
      </c>
      <c r="O25" s="71">
        <f>IFERROR(SUMIFS(VENTES!F:F,VENTES!E:E,$A31,VENTES!D:D,"Centrale",VENTES!J:J,12,VENTES!K:K,2026),0)
</f>
        <v>0</v>
      </c>
    </row>
    <row r="26" ht="15.75" customHeight="1">
      <c r="A26" s="27" t="s">
        <v>25</v>
      </c>
      <c r="B26" s="72">
        <f>IFERROR(SUMIFS(VENTES!F:F,VENTES!E:E,$A26,VENTES!D:D,"Centrale",VENTES!J:J,11,VENTES!K:K,2025),0)
</f>
        <v>0</v>
      </c>
      <c r="C26" s="54">
        <f>IFERROR(SUMIFS(VENTES!F:F,VENTES!E:E,$A26,VENTES!D:D,"Centrale",VENTES!J:J,12,VENTES!K:K,2025),0)
</f>
        <v>0</v>
      </c>
      <c r="D26" s="54">
        <f>IFERROR(SUMIFS(VENTES!F:F,VENTES!E:E,$A26,VENTES!D:D,"Centrale",VENTES!J:J,1,VENTES!K:K,2026),0)
</f>
        <v>8417.95</v>
      </c>
      <c r="E26" s="54">
        <f>IFERROR(SUMIFS(VENTES!F:F,VENTES!E:E,$A26,VENTES!D:D,"Centrale",VENTES!J:J,2,VENTES!K:K,2026),0)
</f>
        <v>9309.7</v>
      </c>
      <c r="F26" s="54">
        <f>IFERROR(SUMIFS(VENTES!F:F,VENTES!E:E,$A26,VENTES!D:D,"Centrale",VENTES!J:J,3,VENTES!K:K,2026),0)
</f>
        <v>8293.01</v>
      </c>
      <c r="G26" s="54">
        <f>IFERROR(SUMIFS(VENTES!F:F,VENTES!E:E,$A26,VENTES!D:D,"Centrale",VENTES!J:J,4,VENTES!K:K,2026),0)
</f>
        <v>9736.2</v>
      </c>
      <c r="H26" s="54">
        <f>IFERROR(SUMIFS(VENTES!$F:$F,VENTES!$E:$E,$A26,VENTES!$D:$D,"Centrale",VENTES!$J:$J,5,VENTES!$K:$K,2026),0)
</f>
        <v>9266.62</v>
      </c>
      <c r="I26" s="54">
        <f>IFERROR(SUMIFS(VENTES!$F:$F,VENTES!$E:$E,$A26,VENTES!$D:$D,"Centrale",VENTES!$J:$J,6,VENTES!$K:$K,2026),0)
</f>
        <v>7022.91</v>
      </c>
      <c r="J26" s="54">
        <f>IFERROR(SUMIFS(VENTES!$F:$F,VENTES!$E:$E,$A26,VENTES!$D:$D,"Centrale",VENTES!$J:$J,7,VENTES!$K:$K,2026),0)
</f>
        <v>7676.96</v>
      </c>
      <c r="K26" s="54">
        <f>IFERROR(SUMIFS(VENTES!$F:$F,VENTES!$E:$E,$A26,VENTES!$D:$D,"Centrale",VENTES!$J:$J,8,VENTES!$K:$K,2026),0)
</f>
        <v>5652.18</v>
      </c>
      <c r="L26" s="54">
        <f>IFERROR(SUMIFS(VENTES!$F:$F,VENTES!$E:$E,$A26,VENTES!$D:$D,"Centrale",VENTES!$J:$J,9,VENTES!$K:$K,2026),0)
</f>
        <v>0</v>
      </c>
      <c r="M26" s="54">
        <f>IFERROR(SUMIFS(VENTES!$F:$F,VENTES!$E:$E,$A26,VENTES!$D:$D,"Centrale",VENTES!$J:$J,10,VENTES!$K:$K,2026),0)
</f>
        <v>0</v>
      </c>
      <c r="N26" s="54">
        <f>IFERROR(SUMIFS(VENTES!$F:$F,VENTES!$E:$E,$A26,VENTES!$D:$D,"Centrale",VENTES!$J:$J,11,VENTES!$K:$K,2026),0)
</f>
        <v>0</v>
      </c>
      <c r="O26" s="54">
        <f>IFERROR(SUMIFS(VENTES!$F:$F,VENTES!$E:$E,$A26,VENTES!$D:$D,"Centrale",VENTES!$J:$J,12,VENTES!$K:$K,2026),0)
</f>
        <v>0</v>
      </c>
    </row>
    <row r="27" ht="15.75" customHeight="1">
      <c r="A27" s="27" t="s">
        <v>63</v>
      </c>
      <c r="B27" s="54">
        <f>IFERROR(SUMIFS(VENTES!F:F,VENTES!E:E,$A27,VENTES!D:D,"Centrale",VENTES!J:J,11,VENTES!K:K,2025),0)
</f>
        <v>0</v>
      </c>
      <c r="C27" s="54">
        <f>IFERROR(SUMIFS(VENTES!F:F,VENTES!E:E,$A27,VENTES!D:D,"Centrale",VENTES!J:J,12,VENTES!K:K,2025),0)
</f>
        <v>0</v>
      </c>
      <c r="D27" s="54">
        <f>IFERROR(SUMIFS(VENTES!F:F,VENTES!E:E,$A27,VENTES!D:D,"Centrale",VENTES!J:J,1,VENTES!K:K,2026),0)
</f>
        <v>6238.4</v>
      </c>
      <c r="E27" s="54">
        <f>IFERROR(SUMIFS(VENTES!F:F,VENTES!E:E,$A27,VENTES!D:D,"Centrale",VENTES!J:J,2,VENTES!K:K,2026),0)
</f>
        <v>10346.24</v>
      </c>
      <c r="F27" s="54">
        <f>IFERROR(SUMIFS(VENTES!F:F,VENTES!E:E,$A27,VENTES!D:D,"Centrale",VENTES!J:J,3,VENTES!K:K,2026),0)
</f>
        <v>6774.4</v>
      </c>
      <c r="G27" s="54">
        <f>IFERROR(SUMIFS(VENTES!F:F,VENTES!E:E,$A27,VENTES!D:D,"Centrale",VENTES!J:J,4,VENTES!K:K,2026),0)
</f>
        <v>8041.6</v>
      </c>
      <c r="H27" s="54">
        <f>IFERROR(SUMIFS(VENTES!F:F,VENTES!E:E,$A27,VENTES!D:D,"Centrale",VENTES!J:J,5,VENTES!K:K,2026),0)
</f>
        <v>5763.2</v>
      </c>
      <c r="I27" s="54">
        <f>IFERROR(SUMIFS(VENTES!F:F,VENTES!E:E,$A27,VENTES!D:D,"Centrale",VENTES!J:J,6,VENTES!K:K,2026),0)
</f>
        <v>0</v>
      </c>
      <c r="J27" s="71">
        <f>IFERROR(SUMIFS(VENTES!F:F,VENTES!E:E,$A27,VENTES!D:D,"Centrale",VENTES!J:J,7,VENTES!K:K,2026),0)
</f>
        <v>0</v>
      </c>
      <c r="K27" s="71">
        <f>IFERROR(SUMIFS(VENTES!F:F,VENTES!E:E,$A27,VENTES!D:D,"Centrale",VENTES!J:J,8,VENTES!K:K,2026),0)
</f>
        <v>0</v>
      </c>
      <c r="L27" s="71">
        <f>IFERROR(SUMIFS(VENTES!F:F,VENTES!E:E,$A27,VENTES!D:D,"Centrale",VENTES!J:J,9,VENTES!K:K,2026),0)
</f>
        <v>0</v>
      </c>
      <c r="M27" s="71">
        <f>IFERROR(SUMIFS(VENTES!F:F,VENTES!E:E,$A27,VENTES!D:D,"Centrale",VENTES!J:J,10,VENTES!K:K,2026),0)
</f>
        <v>0</v>
      </c>
      <c r="N27" s="71">
        <f>IFERROR(SUMIFS(VENTES!F:F,VENTES!E:E,$A27,VENTES!D:D,"Centrale",VENTES!J:J,11,VENTES!K:K,2026),0)
</f>
        <v>0</v>
      </c>
      <c r="O27" s="71">
        <f>IFERROR(SUMIFS(VENTES!F:F,VENTES!E:E,$A27,VENTES!D:D,"Centrale",VENTES!J:J,12,VENTES!K:K,2026),0)
</f>
        <v>0</v>
      </c>
    </row>
    <row r="28" ht="15.75" customHeight="1"/>
    <row r="29" ht="15.75" customHeight="1">
      <c r="A29" s="67" t="s">
        <v>175</v>
      </c>
    </row>
    <row r="30" ht="15.75" customHeight="1">
      <c r="A30" s="25" t="s">
        <v>6</v>
      </c>
      <c r="B30" s="69">
        <v>45962.0</v>
      </c>
      <c r="C30" s="69">
        <v>45992.0</v>
      </c>
      <c r="D30" s="70" t="s">
        <v>144</v>
      </c>
      <c r="E30" s="70" t="s">
        <v>145</v>
      </c>
      <c r="F30" s="70" t="s">
        <v>146</v>
      </c>
      <c r="G30" s="70" t="s">
        <v>147</v>
      </c>
      <c r="H30" s="70" t="s">
        <v>148</v>
      </c>
      <c r="I30" s="70" t="s">
        <v>149</v>
      </c>
      <c r="J30" s="70" t="s">
        <v>150</v>
      </c>
      <c r="K30" s="70" t="s">
        <v>151</v>
      </c>
      <c r="L30" s="70" t="s">
        <v>152</v>
      </c>
      <c r="M30" s="70" t="s">
        <v>153</v>
      </c>
      <c r="N30" s="70" t="s">
        <v>154</v>
      </c>
      <c r="O30" s="70" t="s">
        <v>155</v>
      </c>
    </row>
    <row r="31" ht="15.75" customHeight="1">
      <c r="A31" s="27" t="s">
        <v>29</v>
      </c>
      <c r="B31" s="54">
        <f>IFERROR(SUMIFS(VENTES!F:F,VENTES!E:E,$A31,VENTES!D:D,"Direct",VENTES!J:J,11,VENTES!K:K,2025),0)
</f>
        <v>6065.56</v>
      </c>
      <c r="C31" s="54">
        <f>IFERROR(SUMIFS(VENTES!F:F,VENTES!E:E,$A31,VENTES!D:D,"Direct",VENTES!J:J,12,VENTES!K:K,2025),0)
</f>
        <v>1271.36</v>
      </c>
      <c r="D31" s="54">
        <f>IFERROR(SUMIFS(VENTES!F:F,VENTES!E:E,$A31,VENTES!D:D,"Direct",VENTES!J:J,1,VENTES!K:K,2026),0)
</f>
        <v>3983.52</v>
      </c>
      <c r="E31" s="54">
        <f>IFERROR(SUMIFS(VENTES!F:F,VENTES!E:E,$A31,VENTES!D:D,"Direct",VENTES!J:J,2,VENTES!K:K,2026),0)
</f>
        <v>4728.16</v>
      </c>
      <c r="F31" s="54">
        <f>IFERROR(SUMIFS(VENTES!F:F,VENTES!E:E,$A31,VENTES!D:D,"Direct",VENTES!J:J,3,VENTES!K:K,2026),0)
</f>
        <v>3755.15</v>
      </c>
      <c r="G31" s="54">
        <f>IFERROR(SUMIFS(VENTES!F:F,VENTES!E:E,$A31,VENTES!D:D,"Direct",VENTES!J:J,4,VENTES!K:K,2026),0)
</f>
        <v>2333.92</v>
      </c>
      <c r="H31" s="54">
        <f>IFERROR(SUMIFS(VENTES!F:F,VENTES!E:E,$A31,VENTES!D:D,"Direct",VENTES!J:J,5,VENTES!K:K,2026),0)
</f>
        <v>3020.64</v>
      </c>
      <c r="I31" s="71">
        <f>IFERROR(SUMIFS(VENTES!F:F,VENTES!E:E,$A31,VENTES!D:D,"Direct",VENTES!J:J,6,VENTES!K:K,2026),0)
</f>
        <v>2589.81</v>
      </c>
      <c r="J31" s="71">
        <f>IFERROR(SUMIFS(VENTES!F:F,VENTES!E:E,$A31,VENTES!D:D,"Direct",VENTES!J:J,7,VENTES!K:K,2026),0)
</f>
        <v>3314.58</v>
      </c>
      <c r="K31" s="71">
        <f>IFERROR(SUMIFS(VENTES!F:F,VENTES!E:E,$A31,VENTES!D:D,"Direct",VENTES!J:J,8,VENTES!K:K,2026),0)
</f>
        <v>436.16</v>
      </c>
      <c r="L31" s="71">
        <f>IFERROR(SUMIFS(VENTES!F:F,VENTES!E:E,$A31,VENTES!D:D,"Direct",VENTES!J:J,9,VENTES!K:K,2026),0)
</f>
        <v>0</v>
      </c>
      <c r="M31" s="71">
        <f>IFERROR(SUMIFS(VENTES!F:F,VENTES!E:E,$A31,VENTES!D:D,"Direct",VENTES!J:J,10,VENTES!K:K,2026),0)
</f>
        <v>0</v>
      </c>
      <c r="N31" s="71">
        <f>IFERROR(SUMIFS(VENTES!F:F,VENTES!E:E,$A31,VENTES!D:D,"Direct",VENTES!J:J,11,VENTES!K:K,2026),0)
</f>
        <v>0</v>
      </c>
      <c r="O31" s="71">
        <f>IFERROR(SUMIFS(VENTES!F:F,VENTES!E:E,$A31,VENTES!D:D,"Direct",VENTES!J:J,12,VENTES!K:K,2026),0)
</f>
        <v>0</v>
      </c>
    </row>
    <row r="32" ht="15.75" customHeight="1">
      <c r="A32" s="27" t="s">
        <v>25</v>
      </c>
      <c r="B32" s="54">
        <f>IFERROR(SUMIFS(VENTES!F:F,VENTES!E:E,$A32,VENTES!D:D,"Direct",VENTES!J:J,11,VENTES!K:K,2025),0)
</f>
        <v>0</v>
      </c>
      <c r="C32" s="54">
        <f>IFERROR(SUMIFS(VENTES!F:F,VENTES!E:E,$A32,VENTES!D:D,"Direct",VENTES!J:J,12,VENTES!K:K,2025),0)
</f>
        <v>0</v>
      </c>
      <c r="D32" s="54">
        <f>IFERROR(SUMIFS(VENTES!F:F,VENTES!E:E,$A32,VENTES!D:D,"Direct",VENTES!J:J,1,VENTES!K:K,2026),0)
</f>
        <v>0</v>
      </c>
      <c r="E32" s="54">
        <f>IFERROR(SUMIFS(VENTES!F:F,VENTES!E:E,$A32,VENTES!D:D,"Direct",VENTES!J:J,2,VENTES!K:K,2026),0)
</f>
        <v>2630.88</v>
      </c>
      <c r="F32" s="54">
        <f>IFERROR(SUMIFS(VENTES!F:F,VENTES!E:E,$A32,VENTES!D:D,"Direct",VENTES!J:J,3,VENTES!K:K,2026),0)
</f>
        <v>974.4</v>
      </c>
      <c r="G32" s="54">
        <f>IFERROR(SUMIFS(VENTES!F:F,VENTES!E:E,$A32,VENTES!D:D,"Direct",VENTES!J:J,4,VENTES!K:K,2026),0)
</f>
        <v>1893.12</v>
      </c>
      <c r="H32" s="54">
        <f>IFERROR(SUMIFS(VENTES!F:F,VENTES!E:E,$A32,VENTES!D:D,"Direct",VENTES!J:J,5,VENTES!K:K,2026),0)
</f>
        <v>951.2</v>
      </c>
      <c r="I32" s="71">
        <f>IFERROR(SUMIFS(VENTES!F:F,VENTES!E:E,$A32,VENTES!D:D,"Direct",VENTES!J:J,6,VENTES!K:K,2026),0)
</f>
        <v>0</v>
      </c>
      <c r="J32" s="71">
        <f>IFERROR(SUMIFS(VENTES!F:F,VENTES!E:E,$A32,VENTES!D:D,"Direct",VENTES!J:J,7,VENTES!K:K,2026),0)
</f>
        <v>0</v>
      </c>
      <c r="K32" s="71">
        <f>IFERROR(SUMIFS(VENTES!F:F,VENTES!E:E,$A32,VENTES!D:D,"Direct",VENTES!J:J,8,VENTES!K:K,2026),0)
</f>
        <v>0</v>
      </c>
      <c r="L32" s="71">
        <f>IFERROR(SUMIFS(VENTES!F:F,VENTES!E:E,$A32,VENTES!D:D,"Direct",VENTES!J:J,9,VENTES!K:K,2026),0)
</f>
        <v>0</v>
      </c>
      <c r="M32" s="71">
        <f>IFERROR(SUMIFS(VENTES!F:F,VENTES!E:E,$A32,VENTES!D:D,"Direct",VENTES!J:J,10,VENTES!K:K,2026),0)
</f>
        <v>0</v>
      </c>
      <c r="N32" s="71">
        <f>IFERROR(SUMIFS(VENTES!F:F,VENTES!E:E,$A32,VENTES!D:D,"Direct",VENTES!J:J,11,VENTES!K:K,2026),0)
</f>
        <v>0</v>
      </c>
      <c r="O32" s="71">
        <f>IFERROR(SUMIFS(VENTES!F:F,VENTES!E:E,$A32,VENTES!D:D,"Direct",VENTES!J:J,12,VENTES!K:K,2026),0)
</f>
        <v>0</v>
      </c>
    </row>
    <row r="33" ht="15.75" customHeight="1">
      <c r="A33" s="27" t="s">
        <v>65</v>
      </c>
      <c r="B33" s="54">
        <f>IFERROR(SUMIFS(VENTES!F:F,VENTES!E:E,$A33,VENTES!D:D,"Direct",VENTES!J:J,11,VENTES!K:K,2025),0)
</f>
        <v>0</v>
      </c>
      <c r="C33" s="54">
        <f>IFERROR(SUMIFS(VENTES!F:F,VENTES!E:E,$A33,VENTES!D:D,"Direct",VENTES!J:J,12,VENTES!K:K,2025),0)
</f>
        <v>0</v>
      </c>
      <c r="D33" s="54">
        <f>IFERROR(SUMIFS(VENTES!F:F,VENTES!E:E,$A33,VENTES!D:D,"Direct",VENTES!J:J,1,VENTES!K:K,2026),0)
</f>
        <v>1364.16</v>
      </c>
      <c r="E33" s="54">
        <f>IFERROR(SUMIFS(VENTES!F:F,VENTES!E:E,$A33,VENTES!D:D,"Direct",VENTES!J:J,2,VENTES!K:K,2026),0)
</f>
        <v>1155.36</v>
      </c>
      <c r="F33" s="54">
        <f>IFERROR(SUMIFS(VENTES!F:F,VENTES!E:E,$A33,VENTES!D:D,"Direct",VENTES!J:J,3,VENTES!K:K,2026),0)
</f>
        <v>941.92</v>
      </c>
      <c r="G33" s="54">
        <f>IFERROR(SUMIFS(VENTES!F:F,VENTES!E:E,$A33,VENTES!D:D,"Direct",VENTES!J:J,4,VENTES!K:K,2026),0)
</f>
        <v>1763.2</v>
      </c>
      <c r="H33" s="54">
        <f>IFERROR(SUMIFS(VENTES!F:F,VENTES!E:E,$A33,VENTES!D:D,"Direct",VENTES!J:J,5,VENTES!K:K,2026),0)
</f>
        <v>0</v>
      </c>
      <c r="I33" s="71">
        <f>IFERROR(SUMIFS(VENTES!F:F,VENTES!E:E,$A33,VENTES!D:D,"Direct",VENTES!J:J,6,VENTES!K:K,2026),0)
</f>
        <v>0</v>
      </c>
      <c r="J33" s="71">
        <f>IFERROR(SUMIFS(VENTES!F:F,VENTES!E:E,$A33,VENTES!D:D,"Direct",VENTES!J:J,7,VENTES!K:K,2026),0)
</f>
        <v>0</v>
      </c>
      <c r="K33" s="71">
        <f>IFERROR(SUMIFS(VENTES!F:F,VENTES!E:E,$A33,VENTES!D:D,"Direct",VENTES!J:J,8,VENTES!K:K,2026),0)
</f>
        <v>0</v>
      </c>
      <c r="L33" s="71">
        <f>IFERROR(SUMIFS(VENTES!F:F,VENTES!E:E,$A33,VENTES!D:D,"Direct",VENTES!J:J,9,VENTES!K:K,2026),0)
</f>
        <v>0</v>
      </c>
      <c r="M33" s="71">
        <f>IFERROR(SUMIFS(VENTES!F:F,VENTES!E:E,$A33,VENTES!D:D,"Direct",VENTES!J:J,10,VENTES!K:K,2026),0)
</f>
        <v>0</v>
      </c>
      <c r="N33" s="71">
        <f>IFERROR(SUMIFS(VENTES!F:F,VENTES!E:E,$A33,VENTES!D:D,"Direct",VENTES!J:J,11,VENTES!K:K,2026),0)
</f>
        <v>0</v>
      </c>
      <c r="O33" s="71">
        <f>IFERROR(SUMIFS(VENTES!F:F,VENTES!E:E,$A33,VENTES!D:D,"Direct",VENTES!J:J,12,VENTES!K:K,2026),0)
</f>
        <v>0</v>
      </c>
    </row>
    <row r="34" ht="15.75" customHeight="1"/>
    <row r="35" ht="15.75" customHeight="1"/>
    <row r="36" ht="15.75" customHeight="1">
      <c r="A36" s="19" t="s">
        <v>195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3"/>
    </row>
    <row r="37" ht="15.75" customHeight="1">
      <c r="A37" s="2" t="s">
        <v>36</v>
      </c>
      <c r="B37" s="2" t="s">
        <v>197</v>
      </c>
      <c r="C37" s="2" t="s">
        <v>145</v>
      </c>
      <c r="D37" s="2" t="s">
        <v>146</v>
      </c>
      <c r="E37" s="2" t="s">
        <v>147</v>
      </c>
      <c r="F37" s="2" t="s">
        <v>148</v>
      </c>
      <c r="G37" s="2" t="s">
        <v>149</v>
      </c>
      <c r="H37" s="2" t="s">
        <v>150</v>
      </c>
      <c r="I37" s="2" t="s">
        <v>151</v>
      </c>
      <c r="J37" s="2" t="s">
        <v>152</v>
      </c>
      <c r="K37" s="2" t="s">
        <v>153</v>
      </c>
      <c r="L37" s="2" t="s">
        <v>154</v>
      </c>
      <c r="M37" s="2" t="s">
        <v>155</v>
      </c>
    </row>
    <row r="38" ht="15.75" customHeight="1">
      <c r="A38" s="27" t="s">
        <v>198</v>
      </c>
      <c r="B38" s="50">
        <f>SUMIFS(VENTES!F3:F476,VENTES!J3:J476,1,VENTES!K3:K476,PARAMETRES!C14)</f>
        <v>26972.78</v>
      </c>
      <c r="C38" s="50">
        <f>SUMIFS(VENTES!F3:F476,VENTES!J3:J476,2,VENTES!K3:K476,PARAMETRES!C14)</f>
        <v>41446.71</v>
      </c>
      <c r="D38" s="50">
        <f>SUMIFS(VENTES!F3:F476,VENTES!J3:J476,3,VENTES!K3:K476,PARAMETRES!C14)</f>
        <v>28509.66</v>
      </c>
      <c r="E38" s="50">
        <f>SUMIFS(VENTES!F3:F476,VENTES!J3:J476,4,VENTES!K3:K476,PARAMETRES!C14)</f>
        <v>34839.25</v>
      </c>
      <c r="F38" s="50">
        <f>SUMIFS(VENTES!F3:F476,VENTES!J3:J476,5,VENTES!K3:K476,PARAMETRES!C14)</f>
        <v>30976.11</v>
      </c>
      <c r="G38" s="50">
        <f>SUMIFS(VENTES!F3:F476,VENTES!J3:J476,6,VENTES!K3:K476,PARAMETRES!C14)</f>
        <v>21170.26</v>
      </c>
      <c r="H38" s="50">
        <f>SUMIFS(VENTES!F3:F476,VENTES!J3:J476,7,VENTES!K3:K476,PARAMETRES!C14)</f>
        <v>23380.51</v>
      </c>
      <c r="I38" s="50">
        <f>SUMIFS(VENTES!F3:F476,VENTES!J3:J476,8,VENTES!K3:K476,PARAMETRES!C14)</f>
        <v>13706.27</v>
      </c>
      <c r="J38" s="50">
        <f>SUMIFS(VENTES!F3:F476,VENTES!J3:J476,9,VENTES!K3:K476,PARAMETRES!C14)</f>
        <v>0</v>
      </c>
      <c r="K38" s="50">
        <f>SUMIFS(VENTES!F3:F476,VENTES!J3:J476,10,VENTES!K3:K476,PARAMETRES!C14)</f>
        <v>0</v>
      </c>
      <c r="L38" s="50">
        <f>SUMIFS(VENTES!F3:F476,VENTES!J3:J476,11,VENTES!K3:K476,PARAMETRES!C14)</f>
        <v>0</v>
      </c>
      <c r="M38" s="50">
        <f>SUMIFS(VENTES!F3:F476,VENTES!J3:J476,12,VENTES!K3:K476,PARAMETRES!C14)</f>
        <v>0</v>
      </c>
    </row>
    <row r="39" ht="15.75" customHeight="1">
      <c r="A39" s="27" t="s">
        <v>16</v>
      </c>
      <c r="B39" s="50">
        <f>SUMIFS(VENTES!I3:I476,VENTES!J3:J476,1,VENTES!K3:K476,PARAMETRES!C14)</f>
        <v>1455.5926</v>
      </c>
      <c r="C39" s="50">
        <f>SUMIFS(VENTES!I3:I476,VENTES!J3:J476,2,VENTES!K3:K476,PARAMETRES!C14)</f>
        <v>2242.6235</v>
      </c>
      <c r="D39" s="50">
        <f>SUMIFS(VENTES!I3:I476,VENTES!J3:J476,3,VENTES!K3:K476,PARAMETRES!C14)</f>
        <v>1538.9124</v>
      </c>
      <c r="E39" s="50">
        <f>SUMIFS(VENTES!I3:I476,VENTES!J3:J476,4,VENTES!K3:K476,PARAMETRES!C14)</f>
        <v>1861.7673</v>
      </c>
      <c r="F39" s="50">
        <f>SUMIFS(VENTES!I3:I476,VENTES!J3:J476,5,VENTES!K3:K476,PARAMETRES!C14)</f>
        <v>1628.2423</v>
      </c>
      <c r="G39" s="50">
        <f>SUMIFS(VENTES!I3:I476,VENTES!J3:J476,6,VENTES!K3:K476,PARAMETRES!C14)</f>
        <v>1110.3092</v>
      </c>
      <c r="H39" s="50">
        <f>SUMIFS(VENTES!I3:I476,VENTES!J3:J476,7,VENTES!K3:K476,PARAMETRES!C14)</f>
        <v>1235.3171</v>
      </c>
      <c r="I39" s="50">
        <f>SUMIFS(VENTES!I3:I476,VENTES!J3:J476,8,VENTES!K3:K476,PARAMETRES!C14)</f>
        <v>685.3135</v>
      </c>
      <c r="J39" s="50">
        <f>SUMIFS(VENTES!I3:I476,VENTES!J3:J476,9,VENTES!K3:K476,PARAMETRES!C14)</f>
        <v>0</v>
      </c>
      <c r="K39" s="50">
        <f>SUMIFS(VENTES!I3:I476,VENTES!J3:J476,10,VENTES!K3:K476,PARAMETRES!C14)</f>
        <v>0</v>
      </c>
      <c r="L39" s="50">
        <f>SUMIFS(VENTES!I3:I476,VENTES!J3:J476,11,VENTES!K3:K476,PARAMETRES!C14)</f>
        <v>0</v>
      </c>
      <c r="M39" s="50">
        <f>SUMIFS(VENTES!I3:I476,VENTES!J3:J476,12,VENTES!K3:K476,PARAMETRES!C14)</f>
        <v>0</v>
      </c>
    </row>
    <row r="40" ht="15.75" customHeight="1">
      <c r="A40" s="27" t="s">
        <v>205</v>
      </c>
      <c r="B40" s="27">
        <f>COUNTIFS(VENTES!J3:J476,1,VENTES!K3:K476,PARAMETRES!C14)</f>
        <v>61</v>
      </c>
      <c r="C40" s="27">
        <f>COUNTIFS(VENTES!J3:J476,2,VENTES!K3:K476,PARAMETRES!C14)</f>
        <v>68</v>
      </c>
      <c r="D40" s="27">
        <f>COUNTIFS(VENTES!J3:J476,3,VENTES!K3:K476,PARAMETRES!C14)</f>
        <v>56</v>
      </c>
      <c r="E40" s="27">
        <f>COUNTIFS(VENTES!J3:J476,4,VENTES!K3:K476,PARAMETRES!C14)</f>
        <v>66</v>
      </c>
      <c r="F40" s="27">
        <f>COUNTIFS(VENTES!J3:J476,5,VENTES!K3:K476,PARAMETRES!C14)</f>
        <v>57</v>
      </c>
      <c r="G40" s="27">
        <f>COUNTIFS(VENTES!J3:J476,6,VENTES!K3:K476,PARAMETRES!C14)</f>
        <v>51</v>
      </c>
      <c r="H40" s="27">
        <f>COUNTIFS(VENTES!J3:J476,7,VENTES!K3:K476,PARAMETRES!C14)</f>
        <v>56</v>
      </c>
      <c r="I40" s="27">
        <f>COUNTIFS(VENTES!J3:J476,8,VENTES!K3:K476,PARAMETRES!C14)</f>
        <v>36</v>
      </c>
      <c r="J40" s="27">
        <f>COUNTIFS(VENTES!J3:J476,9,VENTES!K3:K476,PARAMETRES!C14)</f>
        <v>0</v>
      </c>
      <c r="K40" s="27">
        <f>COUNTIFS(VENTES!J3:J476,10,VENTES!K3:K476,PARAMETRES!C14)</f>
        <v>0</v>
      </c>
      <c r="L40" s="27">
        <f>COUNTIFS(VENTES!J3:J476,11,VENTES!K3:K476,PARAMETRES!C14)</f>
        <v>0</v>
      </c>
      <c r="M40" s="27">
        <f>COUNTIFS(VENTES!J3:J476,12,VENTES!K3:K476,PARAMETRES!C14)</f>
        <v>0</v>
      </c>
    </row>
    <row r="41" ht="15.75" customHeight="1"/>
    <row r="42" ht="15.75" customHeight="1">
      <c r="B42" s="2" t="s">
        <v>197</v>
      </c>
      <c r="C42" s="2" t="s">
        <v>145</v>
      </c>
      <c r="D42" s="2" t="s">
        <v>146</v>
      </c>
      <c r="E42" s="2" t="s">
        <v>147</v>
      </c>
      <c r="F42" s="2" t="s">
        <v>148</v>
      </c>
      <c r="G42" s="2" t="s">
        <v>149</v>
      </c>
      <c r="H42" s="2" t="s">
        <v>150</v>
      </c>
      <c r="I42" s="2" t="s">
        <v>151</v>
      </c>
      <c r="J42" s="2" t="s">
        <v>152</v>
      </c>
      <c r="K42" s="2" t="s">
        <v>153</v>
      </c>
      <c r="L42" s="2" t="s">
        <v>154</v>
      </c>
      <c r="M42" s="2" t="s">
        <v>155</v>
      </c>
    </row>
    <row r="43" ht="15.75" customHeight="1">
      <c r="A43" s="71" t="s">
        <v>37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</row>
    <row r="44" ht="15.75" customHeight="1">
      <c r="A44" s="8" t="s">
        <v>91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</row>
    <row r="45" ht="15.75" customHeight="1">
      <c r="A45" s="71" t="s">
        <v>92</v>
      </c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</row>
    <row r="46" ht="15.75" customHeight="1">
      <c r="A46" s="71" t="s">
        <v>93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</row>
    <row r="47" ht="15.75" customHeight="1">
      <c r="A47" s="8" t="s">
        <v>212</v>
      </c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4:E4"/>
    <mergeCell ref="A14:K14"/>
    <mergeCell ref="A36:M3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20.14"/>
    <col customWidth="1" min="3" max="3" width="10.0"/>
    <col customWidth="1" min="4" max="4" width="12.0"/>
    <col customWidth="1" min="5" max="5" width="14.0"/>
    <col customWidth="1" min="6" max="6" width="19.71"/>
    <col customWidth="1" min="7" max="7" width="16.14"/>
    <col customWidth="1" min="8" max="8" width="13.86"/>
    <col customWidth="1" min="9" max="9" width="17.43"/>
    <col customWidth="1" min="10" max="10" width="14.0"/>
    <col customWidth="1" min="11" max="12" width="8.71"/>
    <col customWidth="1" min="13" max="13" width="32.86"/>
    <col customWidth="1" min="14" max="25" width="8.71"/>
  </cols>
  <sheetData>
    <row r="1">
      <c r="I1" s="6"/>
    </row>
    <row r="2">
      <c r="A2" s="7" t="s">
        <v>119</v>
      </c>
      <c r="I2" s="6"/>
    </row>
    <row r="3">
      <c r="A3" s="4" t="s">
        <v>120</v>
      </c>
      <c r="I3" s="6"/>
    </row>
    <row r="4">
      <c r="A4" s="4" t="s">
        <v>121</v>
      </c>
      <c r="I4" s="6"/>
    </row>
    <row r="5">
      <c r="A5" s="4" t="s">
        <v>122</v>
      </c>
      <c r="I5" s="6"/>
    </row>
    <row r="6">
      <c r="A6" s="4" t="s">
        <v>123</v>
      </c>
      <c r="I6" s="6"/>
    </row>
    <row r="7">
      <c r="A7" s="53" t="s">
        <v>124</v>
      </c>
      <c r="B7" s="55" t="s">
        <v>125</v>
      </c>
      <c r="I7" s="6"/>
    </row>
    <row r="8">
      <c r="I8" s="6"/>
    </row>
    <row r="9">
      <c r="I9" s="6"/>
    </row>
    <row r="10">
      <c r="A10" s="19" t="s">
        <v>127</v>
      </c>
      <c r="B10" s="12"/>
      <c r="C10" s="12"/>
      <c r="D10" s="12"/>
      <c r="E10" s="12"/>
      <c r="F10" s="12"/>
      <c r="G10" s="12"/>
      <c r="H10" s="12"/>
      <c r="I10" s="12"/>
      <c r="J10" s="13"/>
    </row>
    <row r="11">
      <c r="A11" s="5" t="s">
        <v>2</v>
      </c>
      <c r="B11" s="5" t="s">
        <v>6</v>
      </c>
      <c r="C11" s="5" t="s">
        <v>5</v>
      </c>
      <c r="D11" s="5" t="s">
        <v>128</v>
      </c>
      <c r="E11" s="56" t="s">
        <v>108</v>
      </c>
      <c r="F11" s="5" t="s">
        <v>129</v>
      </c>
      <c r="G11" s="5" t="s">
        <v>130</v>
      </c>
      <c r="H11" s="5" t="s">
        <v>131</v>
      </c>
      <c r="I11" s="57" t="s">
        <v>132</v>
      </c>
      <c r="J11" s="5" t="s">
        <v>133</v>
      </c>
    </row>
    <row r="12">
      <c r="A12" s="27" t="str">
        <f t="array" ref="A12:A58">UNIQUE(SORT(VENTES!C3:C1000))
</f>
        <v>ALDOUEST </v>
      </c>
      <c r="B12" s="27" t="str">
        <f>IFERROR(VLOOKUP($A12,VENTES!$C:E,3,FALSE),"")
</f>
        <v>CAP FRAIS</v>
      </c>
      <c r="C12" s="27" t="str">
        <f>IFERROR(VLOOKUP($A12,VENTES!C:E,2,FALSE()),"")</f>
        <v>Centrale</v>
      </c>
      <c r="D12" s="27">
        <f>COUNTIF(VENTES!$C:$C,$A12)
</f>
        <v>8</v>
      </c>
      <c r="E12" s="58">
        <f>SUMIF(VENTES!$C:$C,$A12,VENTES!$F:$F)
</f>
        <v>3699.5</v>
      </c>
      <c r="F12" s="59">
        <f>IFERROR(__xludf.DUMMYFUNCTION("IFERROR(MAX(FILTER(VENTES!$A:$A,VENTES!$C:$C=$A12)),"""")"),46253.0)</f>
        <v>46253</v>
      </c>
      <c r="G12" s="60">
        <f t="shared" ref="G12:G84" si="1">IF(F12="","",DATEDIF(F12,TODAY(),"M"))
</f>
        <v>1</v>
      </c>
      <c r="H12" s="61">
        <f>IFERROR(__xludf.DUMMYFUNCTION("IF(D12=0,0,D12 /MONTH(COUNTUNIQUE(FILTRE(VENTES!$A:$A,VENTES!$C:$C=$A12)))
)"),0.6666666666666666)</f>
        <v>0.6666666667</v>
      </c>
      <c r="I12" s="62" t="str">
        <f>IF(G12="","",IF(G12 &gt; PARAMETRES!B15,"À RELANCER","OK"))
</f>
        <v>À RELANCER</v>
      </c>
      <c r="J12" s="27"/>
    </row>
    <row r="13">
      <c r="A13" s="27" t="s">
        <v>54</v>
      </c>
      <c r="B13" s="27" t="str">
        <f>IFERROR(VLOOKUP($A13,VENTES!$C:E,3,FALSE),"")
</f>
        <v>CAP FRAIS</v>
      </c>
      <c r="C13" s="27" t="str">
        <f>IFERROR(VLOOKUP($A13,VENTES!C:E,2,FALSE()),"")</f>
        <v>Direct</v>
      </c>
      <c r="D13" s="27">
        <f>COUNTIF(VENTES!$C:$C,$A13)
</f>
        <v>1</v>
      </c>
      <c r="E13" s="58">
        <f>SUMIF(VENTES!$C:$C,$A13,VENTES!$F:$F)
</f>
        <v>412.96</v>
      </c>
      <c r="F13" s="59">
        <f>IFERROR(__xludf.DUMMYFUNCTION("IFERROR(MAX(FILTER(VENTES!$A:$A,VENTES!$C:$C=$A13)),"""")"),45981.0)</f>
        <v>45981</v>
      </c>
      <c r="G13" s="60">
        <f t="shared" si="1"/>
        <v>10</v>
      </c>
      <c r="H13" s="61">
        <f>IFERROR(__xludf.DUMMYFUNCTION("IF(D13=0,0,D13 /MONTH(COUNTUNIQUE(FILTRE(VENTES!$A:$A,VENTES!$C:$C=$A13)))
)"),0.08333333333333333)</f>
        <v>0.08333333333</v>
      </c>
      <c r="I13" s="62" t="str">
        <f>IF(G13="","",IF(G13 &gt; PARAMETRES!B16,"À RELANCER","OK"))
</f>
        <v>OK</v>
      </c>
      <c r="J13" s="27"/>
    </row>
    <row r="14">
      <c r="A14" s="27" t="s">
        <v>62</v>
      </c>
      <c r="B14" s="27" t="str">
        <f>IFERROR(VLOOKUP($A14,VENTES!$C:E,3,FALSE),"")
</f>
        <v>GMA GROUP</v>
      </c>
      <c r="C14" s="27" t="str">
        <f>IFERROR(VLOOKUP($A14,VENTES!C:E,2,FALSE()),"")</f>
        <v>Centrale</v>
      </c>
      <c r="D14" s="27">
        <f>COUNTIF(VENTES!$C:$C,$A14)
</f>
        <v>28</v>
      </c>
      <c r="E14" s="58">
        <f>SUMIF(VENTES!$C:$C,$A14,VENTES!$F:$F)
</f>
        <v>37163.84</v>
      </c>
      <c r="F14" s="59">
        <f>IFERROR(__xludf.DUMMYFUNCTION("IFERROR(MAX(FILTER(VENTES!$A:$A,VENTES!$C:$C=$A14)),"""")"),46168.0)</f>
        <v>46168</v>
      </c>
      <c r="G14" s="60">
        <f t="shared" si="1"/>
        <v>3</v>
      </c>
      <c r="H14" s="61">
        <f>IFERROR(__xludf.DUMMYFUNCTION("IF(D14=0,0,D14 /MONTH(COUNTUNIQUE(FILTRE(VENTES!$A:$A,VENTES!$C:$C=$A14)))
)"),2.3333333333333335)</f>
        <v>2.333333333</v>
      </c>
      <c r="I14" s="62" t="str">
        <f>IF(G14="","",IF(G14 &gt; PARAMETRES!B17,"À RELANCER","OK"))
</f>
        <v>À RELANCER</v>
      </c>
      <c r="J14" s="27"/>
    </row>
    <row r="15">
      <c r="A15" s="27" t="s">
        <v>69</v>
      </c>
      <c r="B15" s="27" t="str">
        <f>IFERROR(VLOOKUP($A15,VENTES!$C:E,3,FALSE),"")
</f>
        <v>CAP FRAIS</v>
      </c>
      <c r="C15" s="27" t="str">
        <f>IFERROR(VLOOKUP($A15,VENTES!C:E,2,FALSE()),"")</f>
        <v>Direct</v>
      </c>
      <c r="D15" s="27">
        <f>COUNTIF(VENTES!$C:$C,$A15)
</f>
        <v>3</v>
      </c>
      <c r="E15" s="58">
        <f>SUMIF(VENTES!$C:$C,$A15,VENTES!$F:$F)
</f>
        <v>2811.84</v>
      </c>
      <c r="F15" s="59">
        <f>IFERROR(__xludf.DUMMYFUNCTION("IFERROR(MAX(FILTER(VENTES!$A:$A,VENTES!$C:$C=$A15)),"""")"),46155.0)</f>
        <v>46155</v>
      </c>
      <c r="G15" s="60">
        <f t="shared" si="1"/>
        <v>4</v>
      </c>
      <c r="H15" s="61">
        <f>IFERROR(__xludf.DUMMYFUNCTION("IF(D15=0,0,D15 /MONTH(COUNTUNIQUE(FILTRE(VENTES!$A:$A,VENTES!$C:$C=$A15)))
)"),0.25)</f>
        <v>0.25</v>
      </c>
      <c r="I15" s="62" t="str">
        <f>IF(G15="","",IF(G15 &gt; PARAMETRES!B18,"À RELANCER","OK"))
</f>
        <v>OK</v>
      </c>
      <c r="J15" s="27"/>
    </row>
    <row r="16">
      <c r="A16" s="27" t="s">
        <v>75</v>
      </c>
      <c r="B16" s="27" t="str">
        <f>IFERROR(VLOOKUP($A16,VENTES!$C:E,3,FALSE),"")
</f>
        <v>CAP FRAIS</v>
      </c>
      <c r="C16" s="27" t="str">
        <f>IFERROR(VLOOKUP($A16,VENTES!C:E,2,FALSE()),"")</f>
        <v>Direct</v>
      </c>
      <c r="D16" s="27">
        <f>COUNTIF(VENTES!$C:$C,$A16)
</f>
        <v>1</v>
      </c>
      <c r="E16" s="58">
        <f>SUMIF(VENTES!$C:$C,$A16,VENTES!$F:$F)
</f>
        <v>389.76</v>
      </c>
      <c r="F16" s="59">
        <f>IFERROR(__xludf.DUMMYFUNCTION("IFERROR(MAX(FILTER(VENTES!$A:$A,VENTES!$C:$C=$A16)),"""")"),46072.0)</f>
        <v>46072</v>
      </c>
      <c r="G16" s="60">
        <f t="shared" si="1"/>
        <v>7</v>
      </c>
      <c r="H16" s="61">
        <f>IFERROR(__xludf.DUMMYFUNCTION("IF(D16=0,0,D16 /MONTH(COUNTUNIQUE(FILTRE(VENTES!$A:$A,VENTES!$C:$C=$A16)))
)"),0.08333333333333333)</f>
        <v>0.08333333333</v>
      </c>
      <c r="I16" s="62" t="str">
        <f>IF(G16="","",IF(G16 &gt; PARAMETRES!B19,"À RELANCER","OK"))
</f>
        <v>OK</v>
      </c>
      <c r="J16" s="27"/>
    </row>
    <row r="17">
      <c r="A17" s="27" t="s">
        <v>71</v>
      </c>
      <c r="B17" s="27" t="str">
        <f>IFERROR(VLOOKUP($A17,VENTES!$C:E,3,FALSE),"")
</f>
        <v>CAP FRAIS</v>
      </c>
      <c r="C17" s="27" t="str">
        <f>IFERROR(VLOOKUP($A17,VENTES!C:E,2,FALSE()),"")</f>
        <v>Direct</v>
      </c>
      <c r="D17" s="27">
        <f>COUNTIF(VENTES!$C:$C,$A17)
</f>
        <v>4</v>
      </c>
      <c r="E17" s="58">
        <f>SUMIF(VENTES!$C:$C,$A17,VENTES!$F:$F)
</f>
        <v>1763.2</v>
      </c>
      <c r="F17" s="59">
        <f>IFERROR(__xludf.DUMMYFUNCTION("IFERROR(MAX(FILTER(VENTES!$A:$A,VENTES!$C:$C=$A17)),"""")"),46104.0)</f>
        <v>46104</v>
      </c>
      <c r="G17" s="60">
        <f t="shared" si="1"/>
        <v>5</v>
      </c>
      <c r="H17" s="61">
        <f>IFERROR(__xludf.DUMMYFUNCTION("IF(D17=0,0,D17 /MONTH(COUNTUNIQUE(FILTRE(VENTES!$A:$A,VENTES!$C:$C=$A17)))
)"),0.3333333333333333)</f>
        <v>0.3333333333</v>
      </c>
      <c r="I17" s="62" t="str">
        <f>IF(G17="","",IF(G17 &gt; PARAMETRES!B20,"À RELANCER","OK"))
</f>
        <v>OK</v>
      </c>
      <c r="J17" s="27"/>
    </row>
    <row r="18">
      <c r="A18" s="27" t="s">
        <v>76</v>
      </c>
      <c r="B18" s="27" t="str">
        <f>IFERROR(VLOOKUP($A18,VENTES!$C:E,3,FALSE),"")
</f>
        <v>CAP FRAIS</v>
      </c>
      <c r="C18" s="27" t="str">
        <f>IFERROR(VLOOKUP($A18,VENTES!C:E,2,FALSE()),"")</f>
        <v>Direct</v>
      </c>
      <c r="D18" s="27">
        <f>COUNTIF(VENTES!$C:$C,$A18)
</f>
        <v>1</v>
      </c>
      <c r="E18" s="58">
        <f>SUMIF(VENTES!$C:$C,$A18,VENTES!$F:$F)
</f>
        <v>389.76</v>
      </c>
      <c r="F18" s="59">
        <f>IFERROR(__xludf.DUMMYFUNCTION("IFERROR(MAX(FILTER(VENTES!$A:$A,VENTES!$C:$C=$A18)),"""")"),46070.0)</f>
        <v>46070</v>
      </c>
      <c r="G18" s="60">
        <f t="shared" si="1"/>
        <v>7</v>
      </c>
      <c r="H18" s="61">
        <f>IFERROR(__xludf.DUMMYFUNCTION("IF(D18=0,0,D18 /MONTH(COUNTUNIQUE(FILTRE(VENTES!$A:$A,VENTES!$C:$C=$A18)))
)"),0.08333333333333333)</f>
        <v>0.08333333333</v>
      </c>
      <c r="I18" s="62" t="str">
        <f>IF(G18="","",IF(G18 &gt; PARAMETRES!B21,"À RELANCER","OK"))
</f>
        <v>OK</v>
      </c>
      <c r="J18" s="27"/>
    </row>
    <row r="19">
      <c r="A19" s="27" t="s">
        <v>55</v>
      </c>
      <c r="B19" s="27" t="str">
        <f>IFERROR(VLOOKUP($A19,VENTES!$C:E,3,FALSE),"")
</f>
        <v>CAP FRAIS</v>
      </c>
      <c r="C19" s="27" t="str">
        <f>IFERROR(VLOOKUP($A19,VENTES!C:E,2,FALSE()),"")</f>
        <v>Direct</v>
      </c>
      <c r="D19" s="27">
        <f>COUNTIF(VENTES!$C:$C,$A19)
</f>
        <v>4</v>
      </c>
      <c r="E19" s="58">
        <f>SUMIF(VENTES!$C:$C,$A19,VENTES!$F:$F)
</f>
        <v>2060.16</v>
      </c>
      <c r="F19" s="59">
        <f>IFERROR(__xludf.DUMMYFUNCTION("IFERROR(MAX(FILTER(VENTES!$A:$A,VENTES!$C:$C=$A19)),"""")"),46106.0)</f>
        <v>46106</v>
      </c>
      <c r="G19" s="60">
        <f t="shared" si="1"/>
        <v>5</v>
      </c>
      <c r="H19" s="61">
        <f>IFERROR(__xludf.DUMMYFUNCTION("IF(D19=0,0,D19 /MONTH(COUNTUNIQUE(FILTRE(VENTES!$A:$A,VENTES!$C:$C=$A19)))
)"),0.3333333333333333)</f>
        <v>0.3333333333</v>
      </c>
      <c r="I19" s="62" t="str">
        <f>IF(G19="","",IF(G19 &gt; PARAMETRES!B22,"À RELANCER","OK"))
</f>
        <v>À RELANCER</v>
      </c>
      <c r="J19" s="27"/>
    </row>
    <row r="20">
      <c r="A20" s="27" t="s">
        <v>74</v>
      </c>
      <c r="B20" s="27" t="str">
        <f>IFERROR(VLOOKUP($A20,VENTES!$C:E,3,FALSE),"")
</f>
        <v>SCHLESSER</v>
      </c>
      <c r="C20" s="27" t="str">
        <f>IFERROR(VLOOKUP($A20,VENTES!C:E,2,FALSE()),"")</f>
        <v>Direct</v>
      </c>
      <c r="D20" s="27">
        <f>COUNTIF(VENTES!$C:$C,$A20)
</f>
        <v>1</v>
      </c>
      <c r="E20" s="58">
        <f>SUMIF(VENTES!$C:$C,$A20,VENTES!$F:$F)
</f>
        <v>320.16</v>
      </c>
      <c r="F20" s="59">
        <f>IFERROR(__xludf.DUMMYFUNCTION("IFERROR(MAX(FILTER(VENTES!$A:$A,VENTES!$C:$C=$A20)),"""")"),46065.0)</f>
        <v>46065</v>
      </c>
      <c r="G20" s="60">
        <f t="shared" si="1"/>
        <v>7</v>
      </c>
      <c r="H20" s="61">
        <f>IFERROR(__xludf.DUMMYFUNCTION("IF(D20=0,0,D20 /MONTH(COUNTUNIQUE(FILTRE(VENTES!$A:$A,VENTES!$C:$C=$A20)))
)"),0.08333333333333333)</f>
        <v>0.08333333333</v>
      </c>
      <c r="I20" s="62" t="str">
        <f>IF(G20="","",IF(G20 &gt; PARAMETRES!B23,"À RELANCER","OK"))
</f>
        <v>À RELANCER</v>
      </c>
      <c r="J20" s="27"/>
    </row>
    <row r="21" ht="15.75" customHeight="1">
      <c r="A21" s="27" t="s">
        <v>51</v>
      </c>
      <c r="B21" s="27" t="str">
        <f>IFERROR(VLOOKUP($A21,VENTES!$C:E,3,FALSE),"")
</f>
        <v>CAP FRAIS</v>
      </c>
      <c r="C21" s="27" t="str">
        <f>IFERROR(VLOOKUP($A21,VENTES!C:E,2,FALSE()),"")</f>
        <v>Direct</v>
      </c>
      <c r="D21" s="27">
        <f>COUNTIF(VENTES!$C:$C,$A21)
</f>
        <v>1</v>
      </c>
      <c r="E21" s="58">
        <f>SUMIF(VENTES!$C:$C,$A21,VENTES!$F:$F)
</f>
        <v>426.88</v>
      </c>
      <c r="F21" s="59">
        <f>IFERROR(__xludf.DUMMYFUNCTION("IFERROR(MAX(FILTER(VENTES!$A:$A,VENTES!$C:$C=$A21)),"""")"),45964.0)</f>
        <v>45964</v>
      </c>
      <c r="G21" s="60">
        <f t="shared" si="1"/>
        <v>10</v>
      </c>
      <c r="H21" s="61">
        <f>IFERROR(__xludf.DUMMYFUNCTION("IF(D21=0,0,D21 /MONTH(COUNTUNIQUE(FILTRE(VENTES!$A:$A,VENTES!$C:$C=$A21)))
)"),0.08333333333333333)</f>
        <v>0.08333333333</v>
      </c>
      <c r="I21" s="62" t="str">
        <f>IF(G21="","",IF(G21 &gt; PARAMETRES!B24,"À RELANCER","OK"))
</f>
        <v>OK</v>
      </c>
      <c r="J21" s="27"/>
    </row>
    <row r="22" ht="15.75" customHeight="1">
      <c r="A22" s="27" t="s">
        <v>73</v>
      </c>
      <c r="B22" s="27" t="str">
        <f>IFERROR(VLOOKUP($A22,VENTES!$C:E,3,FALSE),"")
</f>
        <v>CAP FRAIS</v>
      </c>
      <c r="C22" s="27" t="str">
        <f>IFERROR(VLOOKUP($A22,VENTES!C:E,2,FALSE()),"")</f>
        <v>Direct</v>
      </c>
      <c r="D22" s="27">
        <f>COUNTIF(VENTES!$C:$C,$A22)
</f>
        <v>2</v>
      </c>
      <c r="E22" s="58">
        <f>SUMIF(VENTES!$C:$C,$A22,VENTES!$F:$F)
</f>
        <v>733.12</v>
      </c>
      <c r="F22" s="59">
        <f>IFERROR(__xludf.DUMMYFUNCTION("IFERROR(MAX(FILTER(VENTES!$A:$A,VENTES!$C:$C=$A22)),"""")"),46092.0)</f>
        <v>46092</v>
      </c>
      <c r="G22" s="60">
        <f t="shared" si="1"/>
        <v>6</v>
      </c>
      <c r="H22" s="61">
        <f>IFERROR(__xludf.DUMMYFUNCTION("IF(D22=0,0,D22 /MONTH(COUNTUNIQUE(FILTRE(VENTES!$A:$A,VENTES!$C:$C=$A22)))
)"),0.16666666666666666)</f>
        <v>0.1666666667</v>
      </c>
      <c r="I22" s="62" t="str">
        <f>IF(G22="","",IF(G22 &gt; PARAMETRES!B25,"À RELANCER","OK"))
</f>
        <v>OK</v>
      </c>
      <c r="J22" s="27"/>
    </row>
    <row r="23" ht="15.75" customHeight="1">
      <c r="A23" s="27" t="s">
        <v>61</v>
      </c>
      <c r="B23" s="27" t="str">
        <f>IFERROR(VLOOKUP($A23,VENTES!$C:E,3,FALSE),"")
</f>
        <v>BROCARD</v>
      </c>
      <c r="C23" s="27" t="str">
        <f>IFERROR(VLOOKUP($A23,VENTES!C:E,2,FALSE()),"")</f>
        <v>Direct</v>
      </c>
      <c r="D23" s="27">
        <f>COUNTIF(VENTES!$C:$C,$A23)
</f>
        <v>4</v>
      </c>
      <c r="E23" s="58">
        <f>SUMIF(VENTES!$C:$C,$A23,VENTES!$F:$F)
</f>
        <v>1758.56</v>
      </c>
      <c r="F23" s="59">
        <f>IFERROR(__xludf.DUMMYFUNCTION("IFERROR(MAX(FILTER(VENTES!$A:$A,VENTES!$C:$C=$A23)),"""")"),46111.0)</f>
        <v>46111</v>
      </c>
      <c r="G23" s="60">
        <f t="shared" si="1"/>
        <v>5</v>
      </c>
      <c r="H23" s="61">
        <f>IFERROR(__xludf.DUMMYFUNCTION("IF(D23=0,0,D23 /MONTH(COUNTUNIQUE(FILTRE(VENTES!$A:$A,VENTES!$C:$C=$A23)))
)"),0.3333333333333333)</f>
        <v>0.3333333333</v>
      </c>
      <c r="I23" s="62" t="str">
        <f>IF(G23="","",IF(G23 &gt; PARAMETRES!B26,"À RELANCER","OK"))
</f>
        <v>À RELANCER</v>
      </c>
      <c r="J23" s="27"/>
    </row>
    <row r="24" ht="15.75" customHeight="1">
      <c r="A24" s="27" t="s">
        <v>49</v>
      </c>
      <c r="B24" s="27" t="str">
        <f>IFERROR(VLOOKUP($A24,VENTES!$C:E,3,FALSE),"")
</f>
        <v>CAP FRAIS</v>
      </c>
      <c r="C24" s="27" t="str">
        <f>IFERROR(VLOOKUP($A24,VENTES!C:E,2,FALSE()),"")</f>
        <v>Direct</v>
      </c>
      <c r="D24" s="27">
        <f>COUNTIF(VENTES!$C:$C,$A24)
</f>
        <v>1</v>
      </c>
      <c r="E24" s="58">
        <f>SUMIF(VENTES!$C:$C,$A24,VENTES!$F:$F)
</f>
        <v>457.12</v>
      </c>
      <c r="F24" s="59">
        <f>IFERROR(__xludf.DUMMYFUNCTION("IFERROR(MAX(FILTER(VENTES!$A:$A,VENTES!$C:$C=$A24)),"""")"),46034.0)</f>
        <v>46034</v>
      </c>
      <c r="G24" s="60">
        <f t="shared" si="1"/>
        <v>8</v>
      </c>
      <c r="H24" s="61">
        <f>IFERROR(__xludf.DUMMYFUNCTION("IF(D24=0,0,D24 /MONTH(COUNTUNIQUE(FILTRE(VENTES!$A:$A,VENTES!$C:$C=$A24)))
)"),0.08333333333333333)</f>
        <v>0.08333333333</v>
      </c>
      <c r="I24" s="62" t="str">
        <f>IF(G24="","",IF(G24 &gt; PARAMETRES!B27,"À RELANCER","OK"))
</f>
        <v>À RELANCER</v>
      </c>
      <c r="J24" s="27"/>
    </row>
    <row r="25" ht="15.75" customHeight="1">
      <c r="A25" s="27" t="s">
        <v>56</v>
      </c>
      <c r="B25" s="27" t="str">
        <f>IFERROR(VLOOKUP($A25,VENTES!$C:E,3,FALSE),"")
</f>
        <v>CAP FRAIS</v>
      </c>
      <c r="C25" s="27" t="str">
        <f>IFERROR(VLOOKUP($A25,VENTES!C:E,2,FALSE()),"")</f>
        <v>Direct</v>
      </c>
      <c r="D25" s="27">
        <f>COUNTIF(VENTES!$C:$C,$A25)
</f>
        <v>5</v>
      </c>
      <c r="E25" s="58">
        <f>SUMIF(VENTES!$C:$C,$A25,VENTES!$F:$F)
</f>
        <v>2681.92</v>
      </c>
      <c r="F25" s="59">
        <f>IFERROR(__xludf.DUMMYFUNCTION("IFERROR(MAX(FILTER(VENTES!$A:$A,VENTES!$C:$C=$A25)),"""")"),46224.0)</f>
        <v>46224</v>
      </c>
      <c r="G25" s="60">
        <f t="shared" si="1"/>
        <v>2</v>
      </c>
      <c r="H25" s="61">
        <f>IFERROR(__xludf.DUMMYFUNCTION("IF(D25=0,0,D25 /MONTH(COUNTUNIQUE(FILTRE(VENTES!$A:$A,VENTES!$C:$C=$A25)))
)"),0.4166666666666667)</f>
        <v>0.4166666667</v>
      </c>
      <c r="I25" s="62" t="str">
        <f>IF(G25="","",IF(G25 &gt; PARAMETRES!B28,"À RELANCER","OK"))
</f>
        <v>À RELANCER</v>
      </c>
      <c r="J25" s="27"/>
    </row>
    <row r="26" ht="15.75" customHeight="1">
      <c r="A26" s="27" t="s">
        <v>58</v>
      </c>
      <c r="B26" s="27" t="str">
        <f>IFERROR(VLOOKUP($A26,VENTES!$C:E,3,FALSE),"")
</f>
        <v>CAP FRAIS</v>
      </c>
      <c r="C26" s="27" t="str">
        <f>IFERROR(VLOOKUP($A26,VENTES!C:E,2,FALSE()),"")</f>
        <v>Direct</v>
      </c>
      <c r="D26" s="27">
        <f>COUNTIF(VENTES!$C:$C,$A26)
</f>
        <v>1</v>
      </c>
      <c r="E26" s="58">
        <f>SUMIF(VENTES!$C:$C,$A26,VENTES!$F:$F)
</f>
        <v>464</v>
      </c>
      <c r="F26" s="59">
        <f>IFERROR(__xludf.DUMMYFUNCTION("IFERROR(MAX(FILTER(VENTES!$A:$A,VENTES!$C:$C=$A26)),"""")"),45973.0)</f>
        <v>45973</v>
      </c>
      <c r="G26" s="60">
        <f t="shared" si="1"/>
        <v>10</v>
      </c>
      <c r="H26" s="61">
        <f>IFERROR(__xludf.DUMMYFUNCTION("IF(D26=0,0,D26 /MONTH(COUNTUNIQUE(FILTRE(VENTES!$A:$A,VENTES!$C:$C=$A26)))
)"),0.08333333333333333)</f>
        <v>0.08333333333</v>
      </c>
      <c r="I26" s="62" t="str">
        <f>IF(G26="","",IF(G26 &gt; Mail!A2,"À RELANCER","OK"))
</f>
        <v>OK</v>
      </c>
      <c r="J26" s="27"/>
    </row>
    <row r="27" ht="15.75" customHeight="1">
      <c r="A27" s="27" t="s">
        <v>41</v>
      </c>
      <c r="B27" s="27" t="str">
        <f>IFERROR(VLOOKUP($A27,VENTES!$C:E,3,FALSE),"")
</f>
        <v>CAP FRAIS</v>
      </c>
      <c r="C27" s="27" t="str">
        <f>IFERROR(VLOOKUP($A27,VENTES!C:E,2,FALSE()),"")</f>
        <v>Direct</v>
      </c>
      <c r="D27" s="27">
        <f>COUNTIF(VENTES!$C:$C,$A27)
</f>
        <v>2</v>
      </c>
      <c r="E27" s="58">
        <f>SUMIF(VENTES!$C:$C,$A27,VENTES!$F:$F)
</f>
        <v>793.44</v>
      </c>
      <c r="F27" s="59">
        <f>IFERROR(__xludf.DUMMYFUNCTION("IFERROR(MAX(FILTER(VENTES!$A:$A,VENTES!$C:$C=$A27)),"""")"),46043.0)</f>
        <v>46043</v>
      </c>
      <c r="G27" s="60">
        <f t="shared" si="1"/>
        <v>8</v>
      </c>
      <c r="H27" s="61">
        <f>IFERROR(__xludf.DUMMYFUNCTION("IF(D27=0,0,D27 /MONTH(COUNTUNIQUE(FILTRE(VENTES!$A:$A,VENTES!$C:$C=$A27)))
)"),0.16666666666666666)</f>
        <v>0.1666666667</v>
      </c>
      <c r="I27" s="62" t="str">
        <f>IF(G27="","",IF(G27 &gt; PARAMETRES!B30,"À RELANCER","OK"))
</f>
        <v>À RELANCER</v>
      </c>
      <c r="J27" s="27"/>
    </row>
    <row r="28" ht="15.75" customHeight="1">
      <c r="A28" s="27" t="s">
        <v>91</v>
      </c>
      <c r="B28" s="27" t="str">
        <f>IFERROR(VLOOKUP($A28,VENTES!$C:E,3,FALSE),"")
</f>
        <v>CAP FRAIS</v>
      </c>
      <c r="C28" s="27" t="str">
        <f>IFERROR(VLOOKUP($A28,VENTES!C:E,2,FALSE()),"")</f>
        <v>Centrale</v>
      </c>
      <c r="D28" s="27">
        <f>COUNTIF(VENTES!$C:$C,$A28)
</f>
        <v>62</v>
      </c>
      <c r="E28" s="58">
        <f>SUMIF(VENTES!$C:$C,$A28,VENTES!$F:$F)
</f>
        <v>26423.75</v>
      </c>
      <c r="F28" s="59">
        <f>IFERROR(__xludf.DUMMYFUNCTION("IFERROR(MAX(FILTER(VENTES!$A:$A,VENTES!$C:$C=$A28)),"""")"),46260.0)</f>
        <v>46260</v>
      </c>
      <c r="G28" s="60">
        <f t="shared" si="1"/>
        <v>0</v>
      </c>
      <c r="H28" s="61">
        <f>IFERROR(__xludf.DUMMYFUNCTION("IF(D28=0,0,D28 /MONTH(COUNTUNIQUE(FILTRE(VENTES!$A:$A,VENTES!$C:$C=$A28)))
)"),5.166666666666667)</f>
        <v>5.166666667</v>
      </c>
      <c r="I28" s="62" t="str">
        <f>IF(G28="","",IF(G28 &gt; PARAMETRES!B31,"À RELANCER","OK"))
</f>
        <v>OK</v>
      </c>
      <c r="J28" s="27"/>
    </row>
    <row r="29" ht="15.75" customHeight="1">
      <c r="A29" s="27" t="s">
        <v>53</v>
      </c>
      <c r="B29" s="27" t="str">
        <f>IFERROR(VLOOKUP($A29,VENTES!$C:E,3,FALSE),"")
</f>
        <v>CAP FRAIS</v>
      </c>
      <c r="C29" s="27" t="str">
        <f>IFERROR(VLOOKUP($A29,VENTES!C:E,2,FALSE()),"")</f>
        <v>Direct</v>
      </c>
      <c r="D29" s="27">
        <f>COUNTIF(VENTES!$C:$C,$A29)
</f>
        <v>4</v>
      </c>
      <c r="E29" s="58">
        <f>SUMIF(VENTES!$C:$C,$A29,VENTES!$F:$F)
</f>
        <v>2490.44</v>
      </c>
      <c r="F29" s="59">
        <f>IFERROR(__xludf.DUMMYFUNCTION("IFERROR(MAX(FILTER(VENTES!$A:$A,VENTES!$C:$C=$A29)),"""")"),46188.0)</f>
        <v>46188</v>
      </c>
      <c r="G29" s="60">
        <f t="shared" si="1"/>
        <v>3</v>
      </c>
      <c r="H29" s="61">
        <f>IFERROR(__xludf.DUMMYFUNCTION("IF(D29=0,0,D29 /MONTH(COUNTUNIQUE(FILTRE(VENTES!$A:$A,VENTES!$C:$C=$A29)))
)"),0.3333333333333333)</f>
        <v>0.3333333333</v>
      </c>
      <c r="I29" s="62" t="str">
        <f>IF(G29="","",IF(G29 &gt; PARAMETRES!B32,"À RELANCER","OK"))
</f>
        <v>À RELANCER</v>
      </c>
      <c r="J29" s="27"/>
    </row>
    <row r="30" ht="15.75" customHeight="1">
      <c r="A30" s="27" t="s">
        <v>94</v>
      </c>
      <c r="B30" s="27" t="str">
        <f>IFERROR(VLOOKUP($A30,VENTES!$C:E,3,FALSE),"")
</f>
        <v>CAP FRAIS</v>
      </c>
      <c r="C30" s="27" t="str">
        <f>IFERROR(VLOOKUP($A30,VENTES!C:E,2,FALSE()),"")</f>
        <v>Direct</v>
      </c>
      <c r="D30" s="27">
        <f>COUNTIF(VENTES!$C:$C,$A30)
</f>
        <v>2</v>
      </c>
      <c r="E30" s="58">
        <f>SUMIF(VENTES!$C:$C,$A30,VENTES!$F:$F)
</f>
        <v>884.15</v>
      </c>
      <c r="F30" s="59">
        <f>IFERROR(__xludf.DUMMYFUNCTION("IFERROR(MAX(FILTER(VENTES!$A:$A,VENTES!$C:$C=$A30)),"""")"),46220.0)</f>
        <v>46220</v>
      </c>
      <c r="G30" s="60">
        <f t="shared" si="1"/>
        <v>2</v>
      </c>
      <c r="H30" s="61">
        <f>IFERROR(__xludf.DUMMYFUNCTION("IF(D30=0,0,D30 /MONTH(COUNTUNIQUE(FILTRE(VENTES!$A:$A,VENTES!$C:$C=$A30)))
)"),0.16666666666666666)</f>
        <v>0.1666666667</v>
      </c>
      <c r="I30" s="62" t="str">
        <f>IF(G30="","",IF(G30 &gt; PARAMETRES!B33,"À RELANCER","OK"))
</f>
        <v>À RELANCER</v>
      </c>
      <c r="J30" s="27"/>
    </row>
    <row r="31" ht="15.75" customHeight="1">
      <c r="A31" s="27" t="s">
        <v>82</v>
      </c>
      <c r="B31" s="27" t="str">
        <f>IFERROR(VLOOKUP($A31,VENTES!$C:E,3,FALSE),"")
</f>
        <v>BROCARD</v>
      </c>
      <c r="C31" s="27" t="str">
        <f>IFERROR(VLOOKUP($A31,VENTES!C:E,2,FALSE()),"")</f>
        <v>Direct</v>
      </c>
      <c r="D31" s="27">
        <f>COUNTIF(VENTES!$C:$C,$A31)
</f>
        <v>2</v>
      </c>
      <c r="E31" s="58">
        <f>SUMIF(VENTES!$C:$C,$A31,VENTES!$F:$F)
</f>
        <v>974.4</v>
      </c>
      <c r="F31" s="59">
        <f>IFERROR(__xludf.DUMMYFUNCTION("IFERROR(MAX(FILTER(VENTES!$A:$A,VENTES!$C:$C=$A31)),"""")"),46119.0)</f>
        <v>46119</v>
      </c>
      <c r="G31" s="60">
        <f t="shared" si="1"/>
        <v>5</v>
      </c>
      <c r="H31" s="61">
        <f>IFERROR(__xludf.DUMMYFUNCTION("IF(D31=0,0,D31 /MONTH(COUNTUNIQUE(FILTRE(VENTES!$A:$A,VENTES!$C:$C=$A31)))
)"),0.16666666666666666)</f>
        <v>0.1666666667</v>
      </c>
      <c r="I31" s="62" t="str">
        <f>IF(G31="","",IF(G31 &gt; PARAMETRES!B34,"À RELANCER","OK"))
</f>
        <v>À RELANCER</v>
      </c>
      <c r="J31" s="27"/>
    </row>
    <row r="32" ht="15.75" customHeight="1">
      <c r="A32" s="27" t="s">
        <v>78</v>
      </c>
      <c r="B32" s="27" t="str">
        <f>IFERROR(VLOOKUP($A32,VENTES!$C:E,3,FALSE),"")
</f>
        <v>BROCARD</v>
      </c>
      <c r="C32" s="27" t="str">
        <f>IFERROR(VLOOKUP($A32,VENTES!C:E,2,FALSE()),"")</f>
        <v>Direct</v>
      </c>
      <c r="D32" s="27">
        <f>COUNTIF(VENTES!$C:$C,$A32)
</f>
        <v>1</v>
      </c>
      <c r="E32" s="58">
        <f>SUMIF(VENTES!$C:$C,$A32,VENTES!$F:$F)
</f>
        <v>445.44</v>
      </c>
      <c r="F32" s="59">
        <f>IFERROR(__xludf.DUMMYFUNCTION("IFERROR(MAX(FILTER(VENTES!$A:$A,VENTES!$C:$C=$A32)),"""")"),46079.0)</f>
        <v>46079</v>
      </c>
      <c r="G32" s="60">
        <f t="shared" si="1"/>
        <v>6</v>
      </c>
      <c r="H32" s="61">
        <f>IFERROR(__xludf.DUMMYFUNCTION("IF(D32=0,0,D32 /MONTH(COUNTUNIQUE(FILTRE(VENTES!$A:$A,VENTES!$C:$C=$A32)))
)"),0.08333333333333333)</f>
        <v>0.08333333333</v>
      </c>
      <c r="I32" s="62" t="str">
        <f>IF(G32="","",IF(G32 &gt; PARAMETRES!B35,"À RELANCER","OK"))
</f>
        <v>À RELANCER</v>
      </c>
      <c r="J32" s="27"/>
    </row>
    <row r="33" ht="15.75" customHeight="1">
      <c r="A33" s="27" t="s">
        <v>68</v>
      </c>
      <c r="B33" s="27" t="str">
        <f>IFERROR(VLOOKUP($A33,VENTES!$C:E,3,FALSE),"")
</f>
        <v>SCHLESSER</v>
      </c>
      <c r="C33" s="27" t="str">
        <f>IFERROR(VLOOKUP($A33,VENTES!C:E,2,FALSE()),"")</f>
        <v>Direct</v>
      </c>
      <c r="D33" s="27">
        <f>COUNTIF(VENTES!$C:$C,$A33)
</f>
        <v>1</v>
      </c>
      <c r="E33" s="58">
        <f>SUMIF(VENTES!$C:$C,$A33,VENTES!$F:$F)
</f>
        <v>320.16</v>
      </c>
      <c r="F33" s="59">
        <f>IFERROR(__xludf.DUMMYFUNCTION("IFERROR(MAX(FILTER(VENTES!$A:$A,VENTES!$C:$C=$A33)),"""")"),46039.0)</f>
        <v>46039</v>
      </c>
      <c r="G33" s="60">
        <f t="shared" si="1"/>
        <v>8</v>
      </c>
      <c r="H33" s="61">
        <f>IFERROR(__xludf.DUMMYFUNCTION("IF(D33=0,0,D33 /MONTH(COUNTUNIQUE(FILTRE(VENTES!$A:$A,VENTES!$C:$C=$A33)))
)"),0.08333333333333333)</f>
        <v>0.08333333333</v>
      </c>
      <c r="I33" s="62" t="str">
        <f>IF(G33="","",IF(G33 &gt; PARAMETRES!B36,"À RELANCER","OK"))
</f>
        <v>À RELANCER</v>
      </c>
      <c r="J33" s="27"/>
    </row>
    <row r="34" ht="15.75" customHeight="1">
      <c r="A34" s="27" t="s">
        <v>67</v>
      </c>
      <c r="B34" s="27" t="str">
        <f>IFERROR(VLOOKUP($A34,VENTES!$C:E,3,FALSE),"")
</f>
        <v>SCHLESSER</v>
      </c>
      <c r="C34" s="27" t="str">
        <f>IFERROR(VLOOKUP($A34,VENTES!C:E,2,FALSE()),"")</f>
        <v>Direct</v>
      </c>
      <c r="D34" s="27">
        <f>COUNTIF(VENTES!$C:$C,$A34)
</f>
        <v>1</v>
      </c>
      <c r="E34" s="58">
        <f>SUMIF(VENTES!$C:$C,$A34,VENTES!$F:$F)
</f>
        <v>320.16</v>
      </c>
      <c r="F34" s="59">
        <f>IFERROR(__xludf.DUMMYFUNCTION("IFERROR(MAX(FILTER(VENTES!$A:$A,VENTES!$C:$C=$A34)),"""")"),46039.0)</f>
        <v>46039</v>
      </c>
      <c r="G34" s="60">
        <f t="shared" si="1"/>
        <v>8</v>
      </c>
      <c r="H34" s="61">
        <f>IFERROR(__xludf.DUMMYFUNCTION("IF(D34=0,0,D34 /MONTH(COUNTUNIQUE(FILTRE(VENTES!$A:$A,VENTES!$C:$C=$A34)))
)"),0.08333333333333333)</f>
        <v>0.08333333333</v>
      </c>
      <c r="I34" s="62" t="str">
        <f>IF(G34="","",IF(G34 &gt; PARAMETRES!B37,"À RELANCER","OK"))
</f>
        <v>À RELANCER</v>
      </c>
      <c r="J34" s="27"/>
    </row>
    <row r="35" ht="15.75" customHeight="1">
      <c r="A35" s="27" t="s">
        <v>79</v>
      </c>
      <c r="B35" s="27" t="str">
        <f>IFERROR(VLOOKUP($A35,VENTES!$C:E,3,FALSE),"")
</f>
        <v>CAP FRAIS</v>
      </c>
      <c r="C35" s="27" t="str">
        <f>IFERROR(VLOOKUP($A35,VENTES!C:E,2,FALSE()),"")</f>
        <v>Direct</v>
      </c>
      <c r="D35" s="27">
        <f>COUNTIF(VENTES!$C:$C,$A35)
</f>
        <v>1</v>
      </c>
      <c r="E35" s="58">
        <f>SUMIF(VENTES!$C:$C,$A35,VENTES!$F:$F)
</f>
        <v>423.63</v>
      </c>
      <c r="F35" s="59">
        <f>IFERROR(__xludf.DUMMYFUNCTION("IFERROR(MAX(FILTER(VENTES!$A:$A,VENTES!$C:$C=$A35)),"""")"),46094.0)</f>
        <v>46094</v>
      </c>
      <c r="G35" s="60">
        <f t="shared" si="1"/>
        <v>6</v>
      </c>
      <c r="H35" s="61">
        <f>IFERROR(__xludf.DUMMYFUNCTION("IF(D35=0,0,D35 /MONTH(COUNTUNIQUE(FILTRE(VENTES!$A:$A,VENTES!$C:$C=$A35)))
)"),0.08333333333333333)</f>
        <v>0.08333333333</v>
      </c>
      <c r="I35" s="62" t="str">
        <f>IF(G35="","",IF(G35 &gt; PARAMETRES!B38,"À RELANCER","OK"))
</f>
        <v>À RELANCER</v>
      </c>
      <c r="J35" s="27"/>
    </row>
    <row r="36" ht="15.75" customHeight="1">
      <c r="A36" s="27" t="s">
        <v>86</v>
      </c>
      <c r="B36" s="27" t="str">
        <f>IFERROR(VLOOKUP($A36,VENTES!$C:E,3,FALSE),"")
</f>
        <v>CAP FRAIS</v>
      </c>
      <c r="C36" s="27" t="str">
        <f>IFERROR(VLOOKUP($A36,VENTES!C:E,2,FALSE()),"")</f>
        <v>Direct</v>
      </c>
      <c r="D36" s="27">
        <f>COUNTIF(VENTES!$C:$C,$A36)
</f>
        <v>3</v>
      </c>
      <c r="E36" s="58">
        <f>SUMIF(VENTES!$C:$C,$A36,VENTES!$F:$F)
</f>
        <v>1243.75</v>
      </c>
      <c r="F36" s="59">
        <f>IFERROR(__xludf.DUMMYFUNCTION("IFERROR(MAX(FILTER(VENTES!$A:$A,VENTES!$C:$C=$A36)),"""")"),46197.0)</f>
        <v>46197</v>
      </c>
      <c r="G36" s="60">
        <f t="shared" si="1"/>
        <v>2</v>
      </c>
      <c r="H36" s="61">
        <f>IFERROR(__xludf.DUMMYFUNCTION("IF(D36=0,0,D36 /MONTH(COUNTUNIQUE(FILTRE(VENTES!$A:$A,VENTES!$C:$C=$A36)))
)"),0.25)</f>
        <v>0.25</v>
      </c>
      <c r="I36" s="62" t="str">
        <f>IF(G36="","",IF(G36 &gt; PARAMETRES!B39,"À RELANCER","OK"))
</f>
        <v>À RELANCER</v>
      </c>
      <c r="J36" s="27"/>
    </row>
    <row r="37" ht="15.75" customHeight="1">
      <c r="A37" s="27" t="s">
        <v>90</v>
      </c>
      <c r="B37" s="27" t="str">
        <f>IFERROR(VLOOKUP($A37,VENTES!$C:E,3,FALSE),"")
</f>
        <v>CAP FRAIS</v>
      </c>
      <c r="C37" s="27" t="str">
        <f>IFERROR(VLOOKUP($A37,VENTES!C:E,2,FALSE()),"")</f>
        <v>Direct</v>
      </c>
      <c r="D37" s="27">
        <f>COUNTIF(VENTES!$C:$C,$A37)
</f>
        <v>1</v>
      </c>
      <c r="E37" s="58">
        <f>SUMIF(VENTES!$C:$C,$A37,VENTES!$F:$F)
</f>
        <v>440.8</v>
      </c>
      <c r="F37" s="59">
        <f>IFERROR(__xludf.DUMMYFUNCTION("IFERROR(MAX(FILTER(VENTES!$A:$A,VENTES!$C:$C=$A37)),"""")"),46146.0)</f>
        <v>46146</v>
      </c>
      <c r="G37" s="60">
        <f t="shared" si="1"/>
        <v>4</v>
      </c>
      <c r="H37" s="61">
        <f>IFERROR(__xludf.DUMMYFUNCTION("IF(D37=0,0,D37 /MONTH(COUNTUNIQUE(FILTRE(VENTES!$A:$A,VENTES!$C:$C=$A37)))
)"),0.08333333333333333)</f>
        <v>0.08333333333</v>
      </c>
      <c r="I37" s="62" t="str">
        <f>IF(G37="","",IF(G37 &gt; PARAMETRES!B40,"À RELANCER","OK"))
</f>
        <v>À RELANCER</v>
      </c>
      <c r="J37" s="27"/>
    </row>
    <row r="38" ht="15.75" customHeight="1">
      <c r="A38" s="27" t="s">
        <v>77</v>
      </c>
      <c r="B38" s="27" t="str">
        <f>IFERROR(VLOOKUP($A38,VENTES!$C:E,3,FALSE),"")
</f>
        <v>BROCARD</v>
      </c>
      <c r="C38" s="27" t="str">
        <f>IFERROR(VLOOKUP($A38,VENTES!C:E,2,FALSE()),"")</f>
        <v>Direct</v>
      </c>
      <c r="D38" s="27">
        <f>COUNTIF(VENTES!$C:$C,$A38)
</f>
        <v>3</v>
      </c>
      <c r="E38" s="58">
        <f>SUMIF(VENTES!$C:$C,$A38,VENTES!$F:$F)
</f>
        <v>1401.28</v>
      </c>
      <c r="F38" s="59">
        <f>IFERROR(__xludf.DUMMYFUNCTION("IFERROR(MAX(FILTER(VENTES!$A:$A,VENTES!$C:$C=$A38)),"""")"),46127.0)</f>
        <v>46127</v>
      </c>
      <c r="G38" s="60">
        <f t="shared" si="1"/>
        <v>5</v>
      </c>
      <c r="H38" s="61">
        <f>IFERROR(__xludf.DUMMYFUNCTION("IF(D38=0,0,D38 /MONTH(COUNTUNIQUE(FILTRE(VENTES!$A:$A,VENTES!$C:$C=$A38)))
)"),0.25)</f>
        <v>0.25</v>
      </c>
      <c r="I38" s="62" t="str">
        <f>IF(G38="","",IF(G38 &gt; PARAMETRES!B41,"À RELANCER","OK"))
</f>
        <v>À RELANCER</v>
      </c>
      <c r="J38" s="27"/>
    </row>
    <row r="39" ht="15.75" customHeight="1">
      <c r="A39" s="27" t="s">
        <v>80</v>
      </c>
      <c r="B39" s="27" t="str">
        <f>IFERROR(VLOOKUP($A39,VENTES!$C:E,3,FALSE),"")
</f>
        <v>SCHLESSER</v>
      </c>
      <c r="C39" s="27" t="str">
        <f>IFERROR(VLOOKUP($A39,VENTES!C:E,2,FALSE()),"")</f>
        <v>Direct</v>
      </c>
      <c r="D39" s="27">
        <f>COUNTIF(VENTES!$C:$C,$A39)
</f>
        <v>3</v>
      </c>
      <c r="E39" s="58">
        <f>SUMIF(VENTES!$C:$C,$A39,VENTES!$F:$F)
</f>
        <v>2705.12</v>
      </c>
      <c r="F39" s="59">
        <f>IFERROR(__xludf.DUMMYFUNCTION("IFERROR(MAX(FILTER(VENTES!$A:$A,VENTES!$C:$C=$A39)),"""")"),46140.0)</f>
        <v>46140</v>
      </c>
      <c r="G39" s="60">
        <f t="shared" si="1"/>
        <v>4</v>
      </c>
      <c r="H39" s="61">
        <f>IFERROR(__xludf.DUMMYFUNCTION("IF(D39=0,0,D39 /MONTH(COUNTUNIQUE(FILTRE(VENTES!$A:$A,VENTES!$C:$C=$A39)))
)"),0.25)</f>
        <v>0.25</v>
      </c>
      <c r="I39" s="62" t="str">
        <f>IF(G39="","",IF(G39 &gt; PARAMETRES!B42,"À RELANCER","OK"))
</f>
        <v>À RELANCER</v>
      </c>
      <c r="J39" s="27"/>
    </row>
    <row r="40" ht="15.75" customHeight="1">
      <c r="A40" s="27" t="s">
        <v>87</v>
      </c>
      <c r="B40" s="27" t="str">
        <f>IFERROR(VLOOKUP($A40,VENTES!$C:E,3,FALSE),"")
</f>
        <v>BROCARD</v>
      </c>
      <c r="C40" s="27" t="str">
        <f>IFERROR(VLOOKUP($A40,VENTES!C:E,2,FALSE()),"")</f>
        <v>Direct</v>
      </c>
      <c r="D40" s="27">
        <f>COUNTIF(VENTES!$C:$C,$A40)
</f>
        <v>2</v>
      </c>
      <c r="E40" s="58">
        <f>SUMIF(VENTES!$C:$C,$A40,VENTES!$F:$F)
</f>
        <v>918.72</v>
      </c>
      <c r="F40" s="59">
        <f>IFERROR(__xludf.DUMMYFUNCTION("IFERROR(MAX(FILTER(VENTES!$A:$A,VENTES!$C:$C=$A40)),"""")"),46157.0)</f>
        <v>46157</v>
      </c>
      <c r="G40" s="60">
        <f t="shared" si="1"/>
        <v>4</v>
      </c>
      <c r="H40" s="61">
        <f>IFERROR(__xludf.DUMMYFUNCTION("IF(D40=0,0,D40 /MONTH(COUNTUNIQUE(FILTRE(VENTES!$A:$A,VENTES!$C:$C=$A40)))
)"),0.16666666666666666)</f>
        <v>0.1666666667</v>
      </c>
      <c r="I40" s="62" t="str">
        <f>IF(G40="","",IF(G40 &gt; PARAMETRES!B43,"À RELANCER","OK"))
</f>
        <v>À RELANCER</v>
      </c>
      <c r="J40" s="27"/>
    </row>
    <row r="41" ht="15.75" customHeight="1">
      <c r="A41" s="27" t="s">
        <v>66</v>
      </c>
      <c r="B41" s="27" t="str">
        <f>IFERROR(VLOOKUP($A41,VENTES!$C:E,3,FALSE),"")
</f>
        <v>SCHLESSER</v>
      </c>
      <c r="C41" s="27" t="str">
        <f>IFERROR(VLOOKUP($A41,VENTES!C:E,2,FALSE()),"")</f>
        <v>Direct</v>
      </c>
      <c r="D41" s="27">
        <f>COUNTIF(VENTES!$C:$C,$A41)
</f>
        <v>3</v>
      </c>
      <c r="E41" s="58">
        <f>SUMIF(VENTES!$C:$C,$A41,VENTES!$F:$F)
</f>
        <v>1183.2</v>
      </c>
      <c r="F41" s="59">
        <f>IFERROR(__xludf.DUMMYFUNCTION("IFERROR(MAX(FILTER(VENTES!$A:$A,VENTES!$C:$C=$A41)),"""")"),46078.0)</f>
        <v>46078</v>
      </c>
      <c r="G41" s="60">
        <f t="shared" si="1"/>
        <v>6</v>
      </c>
      <c r="H41" s="61">
        <f>IFERROR(__xludf.DUMMYFUNCTION("IF(D41=0,0,D41 /MONTH(COUNTUNIQUE(FILTRE(VENTES!$A:$A,VENTES!$C:$C=$A41)))
)"),0.25)</f>
        <v>0.25</v>
      </c>
      <c r="I41" s="62" t="str">
        <f>IF(G41="","",IF(G41 &gt; PARAMETRES!B44,"À RELANCER","OK"))
</f>
        <v>À RELANCER</v>
      </c>
      <c r="J41" s="27"/>
    </row>
    <row r="42" ht="15.75" customHeight="1">
      <c r="A42" s="27" t="s">
        <v>88</v>
      </c>
      <c r="B42" s="27" t="str">
        <f>IFERROR(VLOOKUP($A42,VENTES!$C:E,3,FALSE),"")
</f>
        <v>BROCARD</v>
      </c>
      <c r="C42" s="27" t="str">
        <f>IFERROR(VLOOKUP($A42,VENTES!C:E,2,FALSE()),"")</f>
        <v>Direct</v>
      </c>
      <c r="D42" s="27">
        <f>COUNTIF(VENTES!$C:$C,$A42)
</f>
        <v>1</v>
      </c>
      <c r="E42" s="58">
        <f>SUMIF(VENTES!$C:$C,$A42,VENTES!$F:$F)
</f>
        <v>487.2</v>
      </c>
      <c r="F42" s="59">
        <f>IFERROR(__xludf.DUMMYFUNCTION("IFERROR(MAX(FILTER(VENTES!$A:$A,VENTES!$C:$C=$A42)),"""")"),46115.0)</f>
        <v>46115</v>
      </c>
      <c r="G42" s="60">
        <f t="shared" si="1"/>
        <v>5</v>
      </c>
      <c r="H42" s="61">
        <f>IFERROR(__xludf.DUMMYFUNCTION("IF(D42=0,0,D42 /MONTH(COUNTUNIQUE(FILTRE(VENTES!$A:$A,VENTES!$C:$C=$A42)))
)"),0.08333333333333333)</f>
        <v>0.08333333333</v>
      </c>
      <c r="I42" s="62" t="str">
        <f>IF(G42="","",IF(G42 &gt; PARAMETRES!B45,"À RELANCER","OK"))
</f>
        <v>À RELANCER</v>
      </c>
      <c r="J42" s="27"/>
    </row>
    <row r="43" ht="15.75" customHeight="1">
      <c r="A43" s="27" t="s">
        <v>60</v>
      </c>
      <c r="B43" s="27" t="str">
        <f>IFERROR(VLOOKUP($A43,VENTES!$C:E,3,FALSE),"")
</f>
        <v>CAP FRAIS</v>
      </c>
      <c r="C43" s="27" t="str">
        <f>IFERROR(VLOOKUP($A43,VENTES!C:E,2,FALSE()),"")</f>
        <v>Direct</v>
      </c>
      <c r="D43" s="27">
        <f>COUNTIF(VENTES!$C:$C,$A43)
</f>
        <v>3</v>
      </c>
      <c r="E43" s="58">
        <f>SUMIF(VENTES!$C:$C,$A43,VENTES!$F:$F)
</f>
        <v>2139.04</v>
      </c>
      <c r="F43" s="59">
        <f>IFERROR(__xludf.DUMMYFUNCTION("IFERROR(MAX(FILTER(VENTES!$A:$A,VENTES!$C:$C=$A43)),"""")"),46115.0)</f>
        <v>46115</v>
      </c>
      <c r="G43" s="60">
        <f t="shared" si="1"/>
        <v>5</v>
      </c>
      <c r="H43" s="61">
        <f>IFERROR(__xludf.DUMMYFUNCTION("IF(D43=0,0,D43 /MONTH(COUNTUNIQUE(FILTRE(VENTES!$A:$A,VENTES!$C:$C=$A43)))
)"),0.25)</f>
        <v>0.25</v>
      </c>
      <c r="I43" s="62" t="str">
        <f>IF(G43="","",IF(G43 &gt; PARAMETRES!B46,"À RELANCER","OK"))
</f>
        <v>À RELANCER</v>
      </c>
      <c r="J43" s="27"/>
    </row>
    <row r="44" ht="15.75" customHeight="1">
      <c r="A44" s="27" t="s">
        <v>50</v>
      </c>
      <c r="B44" s="27" t="str">
        <f>IFERROR(VLOOKUP($A44,VENTES!$C:E,3,FALSE),"")
</f>
        <v>BROCARD</v>
      </c>
      <c r="C44" s="27" t="str">
        <f>IFERROR(VLOOKUP($A44,VENTES!C:E,2,FALSE()),"")</f>
        <v>Direct</v>
      </c>
      <c r="D44" s="27">
        <f>COUNTIF(VENTES!$C:$C,$A44)
</f>
        <v>1</v>
      </c>
      <c r="E44" s="58">
        <f>SUMIF(VENTES!$C:$C,$A44,VENTES!$F:$F)
</f>
        <v>464</v>
      </c>
      <c r="F44" s="59">
        <f>IFERROR(__xludf.DUMMYFUNCTION("IFERROR(MAX(FILTER(VENTES!$A:$A,VENTES!$C:$C=$A44)),"""")"),46148.0)</f>
        <v>46148</v>
      </c>
      <c r="G44" s="60">
        <f t="shared" si="1"/>
        <v>4</v>
      </c>
      <c r="H44" s="61">
        <f>IFERROR(__xludf.DUMMYFUNCTION("IF(D44=0,0,D44 /MONTH(COUNTUNIQUE(FILTRE(VENTES!$A:$A,VENTES!$C:$C=$A44)))
)"),0.08333333333333333)</f>
        <v>0.08333333333</v>
      </c>
      <c r="I44" s="62" t="str">
        <f>IF(G44="","",IF(G44 &gt; PARAMETRES!B47,"À RELANCER","OK"))
</f>
        <v>À RELANCER</v>
      </c>
      <c r="J44" s="27"/>
    </row>
    <row r="45" ht="15.75" customHeight="1">
      <c r="A45" s="27" t="s">
        <v>97</v>
      </c>
      <c r="B45" s="27" t="str">
        <f>IFERROR(VLOOKUP($A45,VENTES!$C:E,3,FALSE),"")
</f>
        <v>CAP FRAIS</v>
      </c>
      <c r="C45" s="27" t="str">
        <f>IFERROR(VLOOKUP($A45,VENTES!C:E,2,FALSE()),"")</f>
        <v>Direct</v>
      </c>
      <c r="D45" s="27">
        <f>COUNTIF(VENTES!$C:$C,$A45)
</f>
        <v>1</v>
      </c>
      <c r="E45" s="58">
        <f>SUMIF(VENTES!$C:$C,$A45,VENTES!$F:$F)
</f>
        <v>501.12</v>
      </c>
      <c r="F45" s="59">
        <f>IFERROR(__xludf.DUMMYFUNCTION("IFERROR(MAX(FILTER(VENTES!$A:$A,VENTES!$C:$C=$A45)),"""")"),46220.0)</f>
        <v>46220</v>
      </c>
      <c r="G45" s="60">
        <f t="shared" si="1"/>
        <v>2</v>
      </c>
      <c r="H45" s="61">
        <f>IFERROR(__xludf.DUMMYFUNCTION("IF(D45=0,0,D45 /MONTH(COUNTUNIQUE(FILTRE(VENTES!$A:$A,VENTES!$C:$C=$A45)))
)"),0.08333333333333333)</f>
        <v>0.08333333333</v>
      </c>
      <c r="I45" s="62" t="str">
        <f>IF(G45="","",IF(G45 &gt; PARAMETRES!B48,"À RELANCER","OK"))
</f>
        <v>À RELANCER</v>
      </c>
      <c r="J45" s="27"/>
    </row>
    <row r="46" ht="15.75" customHeight="1">
      <c r="A46" s="27" t="s">
        <v>95</v>
      </c>
      <c r="B46" s="27" t="str">
        <f>IFERROR(VLOOKUP($A46,VENTES!$C:E,3,FALSE),"")
</f>
        <v>CAP FRAIS</v>
      </c>
      <c r="C46" s="27" t="str">
        <f>IFERROR(VLOOKUP($A46,VENTES!C:E,2,FALSE()),"")</f>
        <v>Direct</v>
      </c>
      <c r="D46" s="27">
        <f>COUNTIF(VENTES!$C:$C,$A46)
</f>
        <v>1</v>
      </c>
      <c r="E46" s="58">
        <f>SUMIF(VENTES!$C:$C,$A46,VENTES!$F:$F)
</f>
        <v>425.95</v>
      </c>
      <c r="F46" s="59">
        <f>IFERROR(__xludf.DUMMYFUNCTION("IFERROR(MAX(FILTER(VENTES!$A:$A,VENTES!$C:$C=$A46)),"""")"),46206.0)</f>
        <v>46206</v>
      </c>
      <c r="G46" s="60">
        <f t="shared" si="1"/>
        <v>2</v>
      </c>
      <c r="H46" s="61">
        <f>IFERROR(__xludf.DUMMYFUNCTION("IF(D46=0,0,D46 /MONTH(COUNTUNIQUE(FILTRE(VENTES!$A:$A,VENTES!$C:$C=$A46)))
)"),0.08333333333333333)</f>
        <v>0.08333333333</v>
      </c>
      <c r="I46" s="62" t="str">
        <f>IF(G46="","",IF(G46 &gt; PARAMETRES!B49,"À RELANCER","OK"))
</f>
        <v>À RELANCER</v>
      </c>
      <c r="J46" s="27"/>
    </row>
    <row r="47" ht="15.75" customHeight="1">
      <c r="A47" s="27" t="s">
        <v>99</v>
      </c>
      <c r="B47" s="27" t="str">
        <f>IFERROR(VLOOKUP($A47,VENTES!$C:E,3,FALSE),"")
</f>
        <v>CAP FRAIS</v>
      </c>
      <c r="C47" s="27" t="str">
        <f>IFERROR(VLOOKUP($A47,VENTES!C:E,2,FALSE()),"")</f>
        <v>Direct</v>
      </c>
      <c r="D47" s="27">
        <f>COUNTIF(VENTES!$C:$C,$A47)
</f>
        <v>1</v>
      </c>
      <c r="E47" s="58">
        <f>SUMIF(VENTES!$C:$C,$A47,VENTES!$F:$F)
</f>
        <v>501.12</v>
      </c>
      <c r="F47" s="59">
        <f>IFERROR(__xludf.DUMMYFUNCTION("IFERROR(MAX(FILTER(VENTES!$A:$A,VENTES!$C:$C=$A47)),"""")"),46220.0)</f>
        <v>46220</v>
      </c>
      <c r="G47" s="60">
        <f t="shared" si="1"/>
        <v>2</v>
      </c>
      <c r="H47" s="61">
        <f>IFERROR(__xludf.DUMMYFUNCTION("IF(D47=0,0,D47 /MONTH(COUNTUNIQUE(FILTRE(VENTES!$A:$A,VENTES!$C:$C=$A47)))
)"),0.08333333333333333)</f>
        <v>0.08333333333</v>
      </c>
      <c r="I47" s="62" t="str">
        <f>IF(G47="","",IF(G47 &gt; PARAMETRES!B50,"À RELANCER","OK"))
</f>
        <v>À RELANCER</v>
      </c>
      <c r="J47" s="27"/>
    </row>
    <row r="48" ht="15.75" customHeight="1">
      <c r="A48" s="27" t="s">
        <v>64</v>
      </c>
      <c r="B48" s="27" t="str">
        <f>IFERROR(VLOOKUP($A48,VENTES!$C:E,3,FALSE),"")
</f>
        <v>SCHLESSER</v>
      </c>
      <c r="C48" s="27" t="str">
        <f>IFERROR(VLOOKUP($A48,VENTES!C:E,2,FALSE()),"")</f>
        <v>Direct</v>
      </c>
      <c r="D48" s="27">
        <f>COUNTIF(VENTES!$C:$C,$A48)
</f>
        <v>1</v>
      </c>
      <c r="E48" s="58">
        <f>SUMIF(VENTES!$C:$C,$A48,VENTES!$F:$F)
</f>
        <v>375.84</v>
      </c>
      <c r="F48" s="59">
        <f>IFERROR(__xludf.DUMMYFUNCTION("IFERROR(MAX(FILTER(VENTES!$A:$A,VENTES!$C:$C=$A48)),"""")"),46051.0)</f>
        <v>46051</v>
      </c>
      <c r="G48" s="60">
        <f t="shared" si="1"/>
        <v>7</v>
      </c>
      <c r="H48" s="61">
        <f>IFERROR(__xludf.DUMMYFUNCTION("IF(D48=0,0,D48 /MONTH(COUNTUNIQUE(FILTRE(VENTES!$A:$A,VENTES!$C:$C=$A48)))
)"),0.08333333333333333)</f>
        <v>0.08333333333</v>
      </c>
      <c r="I48" s="62" t="str">
        <f>IF(G48="","",IF(G48 &gt; PARAMETRES!B51,"À RELANCER","OK"))
</f>
        <v>À RELANCER</v>
      </c>
      <c r="J48" s="27"/>
    </row>
    <row r="49" ht="15.75" customHeight="1">
      <c r="A49" s="27" t="s">
        <v>98</v>
      </c>
      <c r="B49" s="27" t="str">
        <f>IFERROR(VLOOKUP($A49,VENTES!$C:E,3,FALSE),"")
</f>
        <v>CAP FRAIS</v>
      </c>
      <c r="C49" s="27" t="str">
        <f>IFERROR(VLOOKUP($A49,ENSEIGNES!$B:$C,2,FALSE),"")
</f>
        <v>Direct</v>
      </c>
      <c r="D49" s="27">
        <f>COUNTIF(VENTES!$C:$C,$A49)
</f>
        <v>1</v>
      </c>
      <c r="E49" s="58">
        <f>SUMIF(VENTES!$C:$C,$A49,VENTES!$F:$F)
</f>
        <v>501.12</v>
      </c>
      <c r="F49" s="59">
        <f>IFERROR(__xludf.DUMMYFUNCTION("IFERROR(MAX(FILTER(VENTES!$A:$A,VENTES!$C:$C=$A49)),"""")"),46220.0)</f>
        <v>46220</v>
      </c>
      <c r="G49" s="60">
        <f t="shared" si="1"/>
        <v>2</v>
      </c>
      <c r="H49" s="61">
        <f>IFERROR(__xludf.DUMMYFUNCTION("IF(D49=0,0,D49 /MONTH(COUNTUNIQUE(FILTRE(VENTES!$A:$A,VENTES!$C:$C=$A49)))
)"),0.08333333333333333)</f>
        <v>0.08333333333</v>
      </c>
      <c r="I49" s="62" t="str">
        <f>IF(G49="","",IF(G49 &gt; PARAMETRES!B52,"À RELANCER","OK"))
</f>
        <v>À RELANCER</v>
      </c>
      <c r="J49" s="27"/>
    </row>
    <row r="50" ht="15.75" customHeight="1">
      <c r="A50" s="27" t="s">
        <v>37</v>
      </c>
      <c r="B50" s="27" t="str">
        <f>IFERROR(VLOOKUP($A50,VENTES!$C:E,3,FALSE),"")
</f>
        <v>CAP FRAIS</v>
      </c>
      <c r="C50" s="27" t="str">
        <f>IFERROR(VLOOKUP($A50,ENSEIGNES!$B:$C,2,FALSE),"")
</f>
        <v>Centrale</v>
      </c>
      <c r="D50" s="27">
        <f>COUNTIF(VENTES!$C:$C,$A50)
</f>
        <v>65</v>
      </c>
      <c r="E50" s="58">
        <f>SUMIF(VENTES!$C:$C,$A50,VENTES!$F:$F)
</f>
        <v>37964.33</v>
      </c>
      <c r="F50" s="59">
        <f>IFERROR(__xludf.DUMMYFUNCTION("IFERROR(MAX(FILTER(VENTES!$A:$A,VENTES!$C:$C=$A50)),"""")"),46261.0)</f>
        <v>46261</v>
      </c>
      <c r="G50" s="60">
        <f t="shared" si="1"/>
        <v>0</v>
      </c>
      <c r="H50" s="61">
        <f>IFERROR(__xludf.DUMMYFUNCTION("IF(D50=0,0,D50 /MONTH(COUNTUNIQUE(FILTRE(VENTES!$A:$A,VENTES!$C:$C=$A50)))
)"),5.416666666666667)</f>
        <v>5.416666667</v>
      </c>
      <c r="I50" s="62" t="str">
        <f>IF(G50="","",IF(G50 &gt; PARAMETRES!B53,"À RELANCER","OK"))
</f>
        <v>OK</v>
      </c>
      <c r="J50" s="27"/>
    </row>
    <row r="51" ht="15.75" customHeight="1">
      <c r="A51" s="27" t="s">
        <v>92</v>
      </c>
      <c r="B51" s="27" t="str">
        <f>IFERROR(VLOOKUP($A51,VENTES!$C:E,3,FALSE),"")
</f>
        <v>CAP FRAIS</v>
      </c>
      <c r="C51" s="27" t="str">
        <f>IFERROR(VLOOKUP($A51,ENSEIGNES!$B:$C,2,FALSE),"")
</f>
        <v>Centrale</v>
      </c>
      <c r="D51" s="27">
        <f>COUNTIF(VENTES!$C:$C,$A51)
</f>
        <v>30</v>
      </c>
      <c r="E51" s="58">
        <f>SUMIF(VENTES!$C:$C,$A51,VENTES!$F:$F)
</f>
        <v>20770.39</v>
      </c>
      <c r="F51" s="59">
        <f>IFERROR(__xludf.DUMMYFUNCTION("IFERROR(MAX(FILTER(VENTES!$A:$A,VENTES!$C:$C=$A51)),"""")"),46259.0)</f>
        <v>46259</v>
      </c>
      <c r="G51" s="60">
        <f t="shared" si="1"/>
        <v>0</v>
      </c>
      <c r="H51" s="61">
        <f>IFERROR(__xludf.DUMMYFUNCTION("IF(D51=0,0,D51 /MONTH(COUNTUNIQUE(FILTRE(VENTES!$A:$A,VENTES!$C:$C=$A51)))
)"),2.5)</f>
        <v>2.5</v>
      </c>
      <c r="I51" s="62" t="str">
        <f>IF(G51="","",IF(G51 &gt; PARAMETRES!B54,"À RELANCER","OK"))
</f>
        <v>OK</v>
      </c>
      <c r="J51" s="27"/>
    </row>
    <row r="52" ht="15.75" customHeight="1">
      <c r="A52" s="27" t="s">
        <v>7</v>
      </c>
      <c r="B52" s="27" t="str">
        <f>IFERROR(VLOOKUP($A52,VENTES!$C:E,3,FALSE),"")
</f>
        <v>BROCARD</v>
      </c>
      <c r="C52" s="27" t="str">
        <f>IFERROR(VLOOKUP($A52,ENSEIGNES!$B:$C,2,FALSE),"")
</f>
        <v>Centrale</v>
      </c>
      <c r="D52" s="27">
        <f>COUNTIF(VENTES!$C:$C,$A52)
</f>
        <v>198</v>
      </c>
      <c r="E52" s="58">
        <f>SUMIF(VENTES!$C:$C,$A52,VENTES!$F:$F)
</f>
        <v>65375.53</v>
      </c>
      <c r="F52" s="59">
        <f>IFERROR(__xludf.DUMMYFUNCTION("IFERROR(MAX(FILTER(VENTES!$A:$A,VENTES!$C:$C=$A52)),"""")"),46260.0)</f>
        <v>46260</v>
      </c>
      <c r="G52" s="60">
        <f t="shared" si="1"/>
        <v>0</v>
      </c>
      <c r="H52" s="61">
        <f>IFERROR(__xludf.DUMMYFUNCTION("IF(D52=0,0,D52 /MONTH(COUNTUNIQUE(FILTRE(VENTES!$A:$A,VENTES!$C:$C=$A52)))
)"),16.5)</f>
        <v>16.5</v>
      </c>
      <c r="I52" s="62" t="str">
        <f>IF(G52="","",IF(G52 &gt; PARAMETRES!B55,"À RELANCER","OK"))
</f>
        <v>OK</v>
      </c>
      <c r="J52" s="27"/>
    </row>
    <row r="53" ht="15.75" customHeight="1">
      <c r="A53" s="27" t="s">
        <v>32</v>
      </c>
      <c r="B53" s="27" t="str">
        <f>IFERROR(VLOOKUP($A53,VENTES!$C:E,3,FALSE),"")
</f>
        <v>CAP FRAIS</v>
      </c>
      <c r="C53" s="27" t="str">
        <f>IFERROR(VLOOKUP($A53,ENSEIGNES!$B:$C,2,FALSE),"")
</f>
        <v>Direct</v>
      </c>
      <c r="D53" s="27">
        <f>COUNTIF(VENTES!$C:$C,$A53)
</f>
        <v>3</v>
      </c>
      <c r="E53" s="58">
        <f>SUMIF(VENTES!$C:$C,$A53,VENTES!$F:$F)
</f>
        <v>1057.92</v>
      </c>
      <c r="F53" s="59">
        <f>IFERROR(__xludf.DUMMYFUNCTION("IFERROR(MAX(FILTER(VENTES!$A:$A,VENTES!$C:$C=$A53)),"""")"),46121.0)</f>
        <v>46121</v>
      </c>
      <c r="G53" s="60">
        <f t="shared" si="1"/>
        <v>5</v>
      </c>
      <c r="H53" s="61">
        <f>IFERROR(__xludf.DUMMYFUNCTION("IF(D53=0,0,D53 /MONTH(COUNTUNIQUE(FILTRE(VENTES!$A:$A,VENTES!$C:$C=$A53)))
)"),0.25)</f>
        <v>0.25</v>
      </c>
      <c r="I53" s="62" t="str">
        <f>IF(G53="","",IF(G53 &gt; PARAMETRES!B56,"À RELANCER","OK"))
</f>
        <v>À RELANCER</v>
      </c>
      <c r="J53" s="27"/>
    </row>
    <row r="54" ht="15.75" customHeight="1">
      <c r="A54" s="27" t="s">
        <v>47</v>
      </c>
      <c r="B54" s="27" t="str">
        <f>IFERROR(VLOOKUP($A54,VENTES!$C:E,3,FALSE),"")
</f>
        <v>CAP FRAIS</v>
      </c>
      <c r="C54" s="27" t="str">
        <f>IFERROR(VLOOKUP($A54,ENSEIGNES!$B:$C,2,FALSE),"")
</f>
        <v>Direct</v>
      </c>
      <c r="D54" s="27">
        <f>COUNTIF(VENTES!$C:$C,$A54)
</f>
        <v>4</v>
      </c>
      <c r="E54" s="58">
        <f>SUMIF(VENTES!$C:$C,$A54,VENTES!$F:$F)
</f>
        <v>2949.18</v>
      </c>
      <c r="F54" s="59">
        <f>IFERROR(__xludf.DUMMYFUNCTION("IFERROR(MAX(FILTER(VENTES!$A:$A,VENTES!$C:$C=$A54)),"""")"),46192.0)</f>
        <v>46192</v>
      </c>
      <c r="G54" s="60">
        <f t="shared" si="1"/>
        <v>3</v>
      </c>
      <c r="H54" s="61">
        <f>IFERROR(__xludf.DUMMYFUNCTION("IF(D54=0,0,D54 /MONTH(COUNTUNIQUE(FILTRE(VENTES!$A:$A,VENTES!$C:$C=$A54)))
)"),0.3333333333333333)</f>
        <v>0.3333333333</v>
      </c>
      <c r="I54" s="62" t="str">
        <f>IF(G54="","",IF(G54 &gt; PARAMETRES!B57,"À RELANCER","OK"))
</f>
        <v>À RELANCER</v>
      </c>
      <c r="J54" s="27"/>
    </row>
    <row r="55" ht="15.75" customHeight="1">
      <c r="A55" s="27" t="s">
        <v>57</v>
      </c>
      <c r="B55" s="27" t="str">
        <f>IFERROR(VLOOKUP($A55,VENTES!$C:E,3,FALSE),"")
</f>
        <v>CAP FRAIS</v>
      </c>
      <c r="C55" s="27" t="str">
        <f>IFERROR(VLOOKUP($A55,ENSEIGNES!$B:$C,2,FALSE),"")
</f>
        <v>Direct</v>
      </c>
      <c r="D55" s="27">
        <f>COUNTIF(VENTES!$C:$C,$A55)
</f>
        <v>1</v>
      </c>
      <c r="E55" s="58">
        <f>SUMIF(VENTES!$C:$C,$A55,VENTES!$F:$F)
</f>
        <v>361.92</v>
      </c>
      <c r="F55" s="59">
        <f>IFERROR(__xludf.DUMMYFUNCTION("IFERROR(MAX(FILTER(VENTES!$A:$A,VENTES!$C:$C=$A55)),"""")"),45973.0)</f>
        <v>45973</v>
      </c>
      <c r="G55" s="60">
        <f t="shared" si="1"/>
        <v>10</v>
      </c>
      <c r="H55" s="61">
        <f>IFERROR(__xludf.DUMMYFUNCTION("IF(D55=0,0,D55 /MONTH(COUNTUNIQUE(FILTRE(VENTES!$A:$A,VENTES!$C:$C=$A55)))
)"),0.08333333333333333)</f>
        <v>0.08333333333</v>
      </c>
      <c r="I55" s="62" t="str">
        <f>IF(G55="","",IF(G55 &gt; PARAMETRES!B58,"À RELANCER","OK"))
</f>
        <v>À RELANCER</v>
      </c>
      <c r="J55" s="27"/>
    </row>
    <row r="56" ht="15.75" customHeight="1">
      <c r="A56" s="27" t="s">
        <v>59</v>
      </c>
      <c r="B56" s="27" t="str">
        <f>IFERROR(VLOOKUP($A56,VENTES!$C:E,3,FALSE),"")
</f>
        <v>CAP FRAIS</v>
      </c>
      <c r="C56" s="27" t="str">
        <f>IFERROR(VLOOKUP($A56,ENSEIGNES!$B:$C,2,FALSE),"")
</f>
        <v>Direct</v>
      </c>
      <c r="D56" s="27">
        <f>COUNTIF(VENTES!$C:$C,$A56)
</f>
        <v>1</v>
      </c>
      <c r="E56" s="58">
        <f>SUMIF(VENTES!$C:$C,$A56,VENTES!$F:$F)
</f>
        <v>454.72</v>
      </c>
      <c r="F56" s="59">
        <f>IFERROR(__xludf.DUMMYFUNCTION("IFERROR(MAX(FILTER(VENTES!$A:$A,VENTES!$C:$C=$A56)),"""")"),45964.0)</f>
        <v>45964</v>
      </c>
      <c r="G56" s="60">
        <f t="shared" si="1"/>
        <v>10</v>
      </c>
      <c r="H56" s="61">
        <f>IFERROR(__xludf.DUMMYFUNCTION("IF(D56=0,0,D56 /MONTH(COUNTUNIQUE(FILTRE(VENTES!$A:$A,VENTES!$C:$C=$A56)))
)"),0.08333333333333333)</f>
        <v>0.08333333333</v>
      </c>
      <c r="I56" s="62" t="str">
        <f>IF(G56="","",IF(G56 &gt; PARAMETRES!B59,"À RELANCER","OK"))
</f>
        <v>À RELANCER</v>
      </c>
      <c r="J56" s="27"/>
    </row>
    <row r="57" ht="15.75" customHeight="1">
      <c r="A57" s="27" t="s">
        <v>39</v>
      </c>
      <c r="B57" s="27" t="str">
        <f>IFERROR(VLOOKUP($A57,VENTES!$C:E,3,FALSE),"")
</f>
        <v>CAP FRAIS</v>
      </c>
      <c r="C57" s="27" t="str">
        <f>IFERROR(VLOOKUP($A57,ENSEIGNES!$B:$C,2,FALSE),"")
</f>
        <v>Direct</v>
      </c>
      <c r="D57" s="27">
        <f>COUNTIF(VENTES!$C:$C,$A57)
</f>
        <v>9</v>
      </c>
      <c r="E57" s="58">
        <f>SUMIF(VENTES!$C:$C,$A57,VENTES!$F:$F)
</f>
        <v>3739.84</v>
      </c>
      <c r="F57" s="59">
        <f>IFERROR(__xludf.DUMMYFUNCTION("IFERROR(MAX(FILTER(VENTES!$A:$A,VENTES!$C:$C=$A57)),"""")"),46262.0)</f>
        <v>46262</v>
      </c>
      <c r="G57" s="60">
        <f t="shared" si="1"/>
        <v>0</v>
      </c>
      <c r="H57" s="61">
        <f>IFERROR(__xludf.DUMMYFUNCTION("IF(D57=0,0,D57 /MONTH(COUNTUNIQUE(FILTRE(VENTES!$A:$A,VENTES!$C:$C=$A57)))
)"),0.75)</f>
        <v>0.75</v>
      </c>
      <c r="I57" s="62" t="str">
        <f>IF(G57="","",IF(G57 &gt; PARAMETRES!B60,"À RELANCER","OK"))
</f>
        <v>OK</v>
      </c>
      <c r="J57" s="27"/>
    </row>
    <row r="58" ht="15.75" customHeight="1">
      <c r="A58" s="27"/>
      <c r="B58" s="27" t="str">
        <f>IFERROR(VLOOKUP($A58,VENTES!$C:E,3,FALSE),"")
</f>
        <v/>
      </c>
      <c r="C58" s="27" t="str">
        <f>IFERROR(VLOOKUP($A58,ENSEIGNES!$B:$C,2,FALSE),"")
</f>
        <v/>
      </c>
      <c r="D58" s="27">
        <f>COUNTIF(VENTES!$C:$C,$A58)
</f>
        <v>0</v>
      </c>
      <c r="E58" s="58">
        <f>SUMIF(VENTES!$C:$C,$A58,VENTES!$F:$F)
</f>
        <v>0</v>
      </c>
      <c r="F58" s="59">
        <f>IFERROR(__xludf.DUMMYFUNCTION("IFERROR(MAX(FILTER(VENTES!$A:$A,VENTES!$C:$C=$A58)),"""")"),0.0)</f>
        <v>0</v>
      </c>
      <c r="G58" s="60">
        <f t="shared" si="1"/>
        <v>1520</v>
      </c>
      <c r="H58" s="61">
        <f>IFERROR(__xludf.DUMMYFUNCTION("IF(D58=0,0,D58 /MONTH(COUNTUNIQUE(FILTRE(VENTES!$A:$A,VENTES!$C:$C=$A58)))
)"),0.0)</f>
        <v>0</v>
      </c>
      <c r="I58" s="62" t="str">
        <f>IF(G58="","",IF(G58 &gt; PARAMETRES!B61,"À RELANCER","OK"))
</f>
        <v>À RELANCER</v>
      </c>
      <c r="J58" s="27"/>
    </row>
    <row r="59" ht="15.75" customHeight="1">
      <c r="A59" s="27"/>
      <c r="B59" s="27" t="str">
        <f>IFERROR(VLOOKUP($A59,VENTES!$C:E,3,FALSE),"")
</f>
        <v/>
      </c>
      <c r="C59" s="27" t="str">
        <f>IFERROR(VLOOKUP($A59,ENSEIGNES!$B:$C,2,FALSE),"")
</f>
        <v/>
      </c>
      <c r="D59" s="27">
        <f>COUNTIF(VENTES!$C:$C,$A59)
</f>
        <v>0</v>
      </c>
      <c r="E59" s="58">
        <f>SUMIF(VENTES!$C:$C,$A59,VENTES!$F:$F)
</f>
        <v>0</v>
      </c>
      <c r="F59" s="59">
        <f>IFERROR(__xludf.DUMMYFUNCTION("IFERROR(MAX(FILTER(VENTES!$A:$A,VENTES!$C:$C=$A59)),"""")"),0.0)</f>
        <v>0</v>
      </c>
      <c r="G59" s="60">
        <f t="shared" si="1"/>
        <v>1520</v>
      </c>
      <c r="H59" s="61">
        <f>IFERROR(__xludf.DUMMYFUNCTION("IF(D59=0,0,D59 /MONTH(COUNTUNIQUE(FILTRE(VENTES!$A:$A,VENTES!$C:$C=$A59)))
)"),0.0)</f>
        <v>0</v>
      </c>
      <c r="I59" s="62" t="str">
        <f>IF(G59="","",IF(G59 &gt; PARAMETRES!B62,"À RELANCER","OK"))
</f>
        <v>À RELANCER</v>
      </c>
      <c r="J59" s="27"/>
    </row>
    <row r="60" ht="15.75" customHeight="1">
      <c r="A60" s="27"/>
      <c r="B60" s="27" t="str">
        <f>IFERROR(VLOOKUP($A60,VENTES!$C:E,3,FALSE),"")
</f>
        <v/>
      </c>
      <c r="C60" s="27" t="str">
        <f>IFERROR(VLOOKUP($A60,ENSEIGNES!$B:$C,2,FALSE),"")
</f>
        <v/>
      </c>
      <c r="D60" s="27">
        <f>COUNTIF(VENTES!$C:$C,$A60)
</f>
        <v>0</v>
      </c>
      <c r="E60" s="58">
        <f>SUMIF(VENTES!$C:$C,$A60,VENTES!$F:$F)
</f>
        <v>0</v>
      </c>
      <c r="F60" s="59">
        <f>IFERROR(__xludf.DUMMYFUNCTION("IFERROR(MAX(FILTER(VENTES!$A:$A,VENTES!$C:$C=$A60)),"""")"),0.0)</f>
        <v>0</v>
      </c>
      <c r="G60" s="60">
        <f t="shared" si="1"/>
        <v>1520</v>
      </c>
      <c r="H60" s="61">
        <f>IFERROR(__xludf.DUMMYFUNCTION("IF(D60=0,0,D60 /MONTH(COUNTUNIQUE(FILTRE(VENTES!$A:$A,VENTES!$C:$C=$A60)))
)"),0.0)</f>
        <v>0</v>
      </c>
      <c r="I60" s="62" t="str">
        <f>IF(G60="","",IF(G60 &gt; PARAMETRES!B63,"À RELANCER","OK"))
</f>
        <v>À RELANCER</v>
      </c>
      <c r="J60" s="27"/>
    </row>
    <row r="61" ht="15.75" customHeight="1">
      <c r="A61" s="27"/>
      <c r="B61" s="27" t="str">
        <f>IFERROR(VLOOKUP($A61,VENTES!$C:E,3,FALSE),"")
</f>
        <v/>
      </c>
      <c r="C61" s="27" t="str">
        <f>IFERROR(VLOOKUP($A61,ENSEIGNES!$B:$C,2,FALSE),"")
</f>
        <v/>
      </c>
      <c r="D61" s="27">
        <f>COUNTIF(VENTES!$C:$C,$A61)
</f>
        <v>0</v>
      </c>
      <c r="E61" s="58">
        <f>SUMIF(VENTES!$C:$C,$A61,VENTES!$F:$F)
</f>
        <v>0</v>
      </c>
      <c r="F61" s="59">
        <f>IFERROR(__xludf.DUMMYFUNCTION("IFERROR(MAX(FILTER(VENTES!$A:$A,VENTES!$C:$C=$A61)),"""")"),0.0)</f>
        <v>0</v>
      </c>
      <c r="G61" s="60">
        <f t="shared" si="1"/>
        <v>1520</v>
      </c>
      <c r="H61" s="61">
        <f>IFERROR(__xludf.DUMMYFUNCTION("IF(D61=0,0,D61 /MONTH(COUNTUNIQUE(FILTRE(VENTES!$A:$A,VENTES!$C:$C=$A61)))
)"),0.0)</f>
        <v>0</v>
      </c>
      <c r="I61" s="62" t="str">
        <f>IF(G61="","",IF(G61 &gt; PARAMETRES!B64,"À RELANCER","OK"))
</f>
        <v>À RELANCER</v>
      </c>
      <c r="J61" s="27"/>
    </row>
    <row r="62" ht="15.75" customHeight="1">
      <c r="B62" s="27" t="str">
        <f>IFERROR(VLOOKUP($A62,VENTES!$C:E,3,FALSE),"")
</f>
        <v/>
      </c>
      <c r="C62" s="27" t="str">
        <f>IFERROR(VLOOKUP($A62,ENSEIGNES!$B:$C,2,FALSE),"")
</f>
        <v/>
      </c>
      <c r="D62" s="27">
        <f>COUNTIF(VENTES!$C:$C,$A62)
</f>
        <v>0</v>
      </c>
      <c r="E62" s="58">
        <f>SUMIF(VENTES!$C:$C,$A62,VENTES!$F:$F)
</f>
        <v>0</v>
      </c>
      <c r="F62" s="59">
        <f>IFERROR(__xludf.DUMMYFUNCTION("IFERROR(MAX(FILTER(VENTES!$A:$A,VENTES!$C:$C=$A62)),"""")"),0.0)</f>
        <v>0</v>
      </c>
      <c r="G62" s="60">
        <f t="shared" si="1"/>
        <v>1520</v>
      </c>
      <c r="H62" s="61">
        <f>IFERROR(__xludf.DUMMYFUNCTION("IF(D62=0,0,D62 /MONTH(COUNTUNIQUE(FILTRE(VENTES!$A:$A,VENTES!$C:$C=$A62)))
)"),0.0)</f>
        <v>0</v>
      </c>
      <c r="I62" s="62" t="str">
        <f>IF(G62="","",IF(G62 &gt; PARAMETRES!B65,"À RELANCER","OK"))
</f>
        <v>À RELANCER</v>
      </c>
    </row>
    <row r="63" ht="15.75" customHeight="1">
      <c r="B63" s="27" t="str">
        <f>IFERROR(VLOOKUP($A63,VENTES!$C:E,3,FALSE),"")
</f>
        <v/>
      </c>
      <c r="C63" s="27" t="str">
        <f>IFERROR(VLOOKUP($A63,ENSEIGNES!$B:$C,2,FALSE),"")
</f>
        <v/>
      </c>
      <c r="D63" s="27">
        <f>COUNTIF(VENTES!$C:$C,$A63)
</f>
        <v>0</v>
      </c>
      <c r="E63" s="58">
        <f>SUMIF(VENTES!$C:$C,$A63,VENTES!$F:$F)
</f>
        <v>0</v>
      </c>
      <c r="F63" s="59">
        <f>IFERROR(__xludf.DUMMYFUNCTION("IFERROR(MAX(FILTER(VENTES!$A:$A,VENTES!$C:$C=$A63)),"""")"),0.0)</f>
        <v>0</v>
      </c>
      <c r="G63" s="60">
        <f t="shared" si="1"/>
        <v>1520</v>
      </c>
      <c r="H63" s="61">
        <f>IFERROR(__xludf.DUMMYFUNCTION("IF(D63=0,0,D63 /MONTH(COUNTUNIQUE(FILTRE(VENTES!$A:$A,VENTES!$C:$C=$A63)))
)"),0.0)</f>
        <v>0</v>
      </c>
      <c r="I63" s="62" t="str">
        <f>IF(G63="","",IF(G63 &gt; PARAMETRES!B66,"À RELANCER","OK"))
</f>
        <v>À RELANCER</v>
      </c>
    </row>
    <row r="64" ht="15.75" customHeight="1">
      <c r="B64" s="27" t="str">
        <f>IFERROR(VLOOKUP($A64,VENTES!$C:E,3,FALSE),"")
</f>
        <v/>
      </c>
      <c r="C64" s="27" t="str">
        <f>IFERROR(VLOOKUP($A64,ENSEIGNES!$B:$C,2,FALSE),"")
</f>
        <v/>
      </c>
      <c r="D64" s="27">
        <f>COUNTIF(VENTES!$C:$C,$A64)
</f>
        <v>0</v>
      </c>
      <c r="E64" s="58">
        <f>SUMIF(VENTES!$C:$C,$A64,VENTES!$F:$F)
</f>
        <v>0</v>
      </c>
      <c r="F64" s="59">
        <f>IFERROR(__xludf.DUMMYFUNCTION("IFERROR(MAX(FILTER(VENTES!$A:$A,VENTES!$C:$C=$A64)),"""")"),0.0)</f>
        <v>0</v>
      </c>
      <c r="G64" s="60">
        <f t="shared" si="1"/>
        <v>1520</v>
      </c>
      <c r="H64" s="61">
        <f>IFERROR(__xludf.DUMMYFUNCTION("IF(D64=0,0,D64 /MONTH(COUNTUNIQUE(FILTRE(VENTES!$A:$A,VENTES!$C:$C=$A64)))
)"),0.0)</f>
        <v>0</v>
      </c>
      <c r="I64" s="62" t="str">
        <f>IF(G64="","",IF(G64 &gt; PARAMETRES!B67,"À RELANCER","OK"))
</f>
        <v>À RELANCER</v>
      </c>
    </row>
    <row r="65" ht="15.75" customHeight="1">
      <c r="B65" s="27" t="str">
        <f>IFERROR(VLOOKUP($A65,VENTES!$C:E,3,FALSE),"")
</f>
        <v/>
      </c>
      <c r="C65" s="27" t="str">
        <f>IFERROR(VLOOKUP($A65,ENSEIGNES!$B:$C,2,FALSE),"")
</f>
        <v/>
      </c>
      <c r="D65" s="27">
        <f>COUNTIF(VENTES!$C:$C,$A65)
</f>
        <v>0</v>
      </c>
      <c r="E65" s="58">
        <f>SUMIF(VENTES!$C:$C,$A65,VENTES!$F:$F)
</f>
        <v>0</v>
      </c>
      <c r="F65" s="59">
        <f>IFERROR(__xludf.DUMMYFUNCTION("IFERROR(MAX(FILTER(VENTES!$A:$A,VENTES!$C:$C=$A65)),"""")"),0.0)</f>
        <v>0</v>
      </c>
      <c r="G65" s="60">
        <f t="shared" si="1"/>
        <v>1520</v>
      </c>
      <c r="H65" s="61">
        <f>IFERROR(__xludf.DUMMYFUNCTION("IF(D65=0,0,D65 /MONTH(COUNTUNIQUE(FILTRE(VENTES!$A:$A,VENTES!$C:$C=$A65)))
)"),0.0)</f>
        <v>0</v>
      </c>
      <c r="I65" s="62" t="str">
        <f>IF(G65="","",IF(G65 &gt; PARAMETRES!B68,"À RELANCER","OK"))
</f>
        <v>À RELANCER</v>
      </c>
    </row>
    <row r="66" ht="15.75" customHeight="1">
      <c r="B66" s="27" t="str">
        <f>IFERROR(VLOOKUP($A66,VENTES!$C:E,3,FALSE),"")
</f>
        <v/>
      </c>
      <c r="C66" s="27" t="str">
        <f>IFERROR(VLOOKUP($A66,ENSEIGNES!$B:$C,2,FALSE),"")
</f>
        <v/>
      </c>
      <c r="D66" s="27">
        <f>COUNTIF(VENTES!$C:$C,$A66)
</f>
        <v>0</v>
      </c>
      <c r="E66" s="58">
        <f>SUMIF(VENTES!$C:$C,$A66,VENTES!$F:$F)
</f>
        <v>0</v>
      </c>
      <c r="F66" s="59">
        <f>IFERROR(__xludf.DUMMYFUNCTION("IFERROR(MAX(FILTER(VENTES!$A:$A,VENTES!$C:$C=$A66)),"""")"),0.0)</f>
        <v>0</v>
      </c>
      <c r="G66" s="60">
        <f t="shared" si="1"/>
        <v>1520</v>
      </c>
      <c r="H66" s="61">
        <f>IFERROR(__xludf.DUMMYFUNCTION("IF(D66=0,0,D66 /MONTH(COUNTUNIQUE(FILTRE(VENTES!$A:$A,VENTES!$C:$C=$A66)))
)"),0.0)</f>
        <v>0</v>
      </c>
      <c r="I66" s="62" t="str">
        <f>IF(G66="","",IF(G66 &gt; PARAMETRES!B69,"À RELANCER","OK"))
</f>
        <v>À RELANCER</v>
      </c>
    </row>
    <row r="67" ht="15.75" customHeight="1">
      <c r="B67" s="27" t="str">
        <f>IFERROR(VLOOKUP($A67,VENTES!$C:E,3,FALSE),"")
</f>
        <v/>
      </c>
      <c r="C67" s="27" t="str">
        <f>IFERROR(VLOOKUP($A67,ENSEIGNES!$B:$C,2,FALSE),"")
</f>
        <v/>
      </c>
      <c r="D67" s="27">
        <f>COUNTIF(VENTES!$C:$C,$A67)
</f>
        <v>0</v>
      </c>
      <c r="E67" s="58">
        <f>SUMIF(VENTES!$C:$C,$A67,VENTES!$F:$F)
</f>
        <v>0</v>
      </c>
      <c r="F67" s="59">
        <f>IFERROR(__xludf.DUMMYFUNCTION("IFERROR(MAX(FILTER(VENTES!$A:$A,VENTES!$C:$C=$A67)),"""")"),0.0)</f>
        <v>0</v>
      </c>
      <c r="G67" s="60">
        <f t="shared" si="1"/>
        <v>1520</v>
      </c>
      <c r="H67" s="61">
        <f>IFERROR(__xludf.DUMMYFUNCTION("IF(D67=0,0,D67 /MONTH(COUNTUNIQUE(FILTRE(VENTES!$A:$A,VENTES!$C:$C=$A67)))
)"),0.0)</f>
        <v>0</v>
      </c>
      <c r="I67" s="62" t="str">
        <f>IF(G67="","",IF(G67 &gt; PARAMETRES!B70,"À RELANCER","OK"))
</f>
        <v>À RELANCER</v>
      </c>
    </row>
    <row r="68" ht="15.75" customHeight="1">
      <c r="B68" s="27" t="str">
        <f>IFERROR(VLOOKUP($A68,VENTES!$C:E,3,FALSE),"")
</f>
        <v/>
      </c>
      <c r="C68" s="27" t="str">
        <f>IFERROR(VLOOKUP($A68,ENSEIGNES!$B:$C,2,FALSE),"")
</f>
        <v/>
      </c>
      <c r="D68" s="27">
        <f>COUNTIF(VENTES!$C:$C,$A68)
</f>
        <v>0</v>
      </c>
      <c r="E68" s="58">
        <f>SUMIF(VENTES!$C:$C,$A68,VENTES!$F:$F)
</f>
        <v>0</v>
      </c>
      <c r="F68" s="59">
        <f>IFERROR(__xludf.DUMMYFUNCTION("IFERROR(MAX(FILTER(VENTES!$A:$A,VENTES!$C:$C=$A68)),"""")"),0.0)</f>
        <v>0</v>
      </c>
      <c r="G68" s="60">
        <f t="shared" si="1"/>
        <v>1520</v>
      </c>
      <c r="H68" s="61">
        <f>IFERROR(__xludf.DUMMYFUNCTION("IF(D68=0,0,D68 /MONTH(COUNTUNIQUE(FILTRE(VENTES!$A:$A,VENTES!$C:$C=$A68)))
)"),0.0)</f>
        <v>0</v>
      </c>
      <c r="I68" s="62" t="str">
        <f>IF(G68="","",IF(G68 &gt; PARAMETRES!B71,"À RELANCER","OK"))
</f>
        <v>À RELANCER</v>
      </c>
    </row>
    <row r="69" ht="15.75" customHeight="1">
      <c r="B69" s="27" t="str">
        <f>IFERROR(VLOOKUP($A69,VENTES!$C:E,3,FALSE),"")
</f>
        <v/>
      </c>
      <c r="C69" s="27" t="str">
        <f>IFERROR(VLOOKUP($A69,ENSEIGNES!$B:$C,2,FALSE),"")
</f>
        <v/>
      </c>
      <c r="D69" s="27">
        <f>COUNTIF(VENTES!$C:$C,$A69)
</f>
        <v>0</v>
      </c>
      <c r="E69" s="58">
        <f>SUMIF(VENTES!$C:$C,$A69,VENTES!$F:$F)
</f>
        <v>0</v>
      </c>
      <c r="F69" s="59">
        <f>IFERROR(__xludf.DUMMYFUNCTION("IFERROR(MAX(FILTER(VENTES!$A:$A,VENTES!$C:$C=$A69)),"""")"),0.0)</f>
        <v>0</v>
      </c>
      <c r="G69" s="60">
        <f t="shared" si="1"/>
        <v>1520</v>
      </c>
      <c r="H69" s="61">
        <f>IFERROR(__xludf.DUMMYFUNCTION("IF(D69=0,0,D69 /MONTH(COUNTUNIQUE(FILTRE(VENTES!$A:$A,VENTES!$C:$C=$A69)))
)"),0.0)</f>
        <v>0</v>
      </c>
      <c r="I69" s="62" t="str">
        <f>IF(G69="","",IF(G69 &gt; PARAMETRES!B72,"À RELANCER","OK"))
</f>
        <v>À RELANCER</v>
      </c>
    </row>
    <row r="70" ht="15.75" customHeight="1">
      <c r="B70" s="27" t="str">
        <f>IFERROR(VLOOKUP($A70,VENTES!$C:E,3,FALSE),"")
</f>
        <v/>
      </c>
      <c r="C70" s="27" t="str">
        <f>IFERROR(VLOOKUP($A70,ENSEIGNES!$B:$C,2,FALSE),"")
</f>
        <v/>
      </c>
      <c r="D70" s="27">
        <f>COUNTIF(VENTES!$C:$C,$A70)
</f>
        <v>0</v>
      </c>
      <c r="E70" s="58">
        <f>SUMIF(VENTES!$C:$C,$A70,VENTES!$F:$F)
</f>
        <v>0</v>
      </c>
      <c r="F70" s="59">
        <f>IFERROR(__xludf.DUMMYFUNCTION("IFERROR(MAX(FILTER(VENTES!$A:$A,VENTES!$C:$C=$A70)),"""")"),0.0)</f>
        <v>0</v>
      </c>
      <c r="G70" s="60">
        <f t="shared" si="1"/>
        <v>1520</v>
      </c>
      <c r="H70" s="61">
        <f>IFERROR(__xludf.DUMMYFUNCTION("IF(D70=0,0,D70 /MONTH(COUNTUNIQUE(FILTRE(VENTES!$A:$A,VENTES!$C:$C=$A70)))
)"),0.0)</f>
        <v>0</v>
      </c>
      <c r="I70" s="62" t="str">
        <f>IF(G70="","",IF(G70 &gt; PARAMETRES!B73,"À RELANCER","OK"))
</f>
        <v>À RELANCER</v>
      </c>
    </row>
    <row r="71" ht="15.75" customHeight="1">
      <c r="B71" s="27" t="str">
        <f>IFERROR(VLOOKUP($A71,VENTES!$C:E,3,FALSE),"")
</f>
        <v/>
      </c>
      <c r="C71" s="27" t="str">
        <f>IFERROR(VLOOKUP($A71,ENSEIGNES!$B:$C,2,FALSE),"")
</f>
        <v/>
      </c>
      <c r="D71" s="27">
        <f>COUNTIF(VENTES!$C:$C,$A71)
</f>
        <v>0</v>
      </c>
      <c r="E71" s="58">
        <f>SUMIF(VENTES!$C:$C,$A71,VENTES!$F:$F)
</f>
        <v>0</v>
      </c>
      <c r="F71" s="59">
        <f>IFERROR(__xludf.DUMMYFUNCTION("IFERROR(MAX(FILTER(VENTES!$A:$A,VENTES!$C:$C=$A71)),"""")"),0.0)</f>
        <v>0</v>
      </c>
      <c r="G71" s="60">
        <f t="shared" si="1"/>
        <v>1520</v>
      </c>
      <c r="H71" s="61">
        <f>IFERROR(__xludf.DUMMYFUNCTION("IF(D71=0,0,D71 /MONTH(COUNTUNIQUE(FILTRE(VENTES!$A:$A,VENTES!$C:$C=$A71)))
)"),0.0)</f>
        <v>0</v>
      </c>
      <c r="I71" s="62" t="str">
        <f>IF(G71="","",IF(G71 &gt; PARAMETRES!B74,"À RELANCER","OK"))
</f>
        <v>À RELANCER</v>
      </c>
    </row>
    <row r="72" ht="15.75" customHeight="1">
      <c r="B72" s="27" t="str">
        <f>IFERROR(VLOOKUP($A72,VENTES!$C:E,3,FALSE),"")
</f>
        <v/>
      </c>
      <c r="C72" s="27" t="str">
        <f>IFERROR(VLOOKUP($A72,ENSEIGNES!$B:$C,2,FALSE),"")
</f>
        <v/>
      </c>
      <c r="D72" s="27">
        <f>COUNTIF(VENTES!$C:$C,$A72)
</f>
        <v>0</v>
      </c>
      <c r="E72" s="58">
        <f>SUMIF(VENTES!$C:$C,$A72,VENTES!$F:$F)
</f>
        <v>0</v>
      </c>
      <c r="F72" s="59">
        <f>IFERROR(__xludf.DUMMYFUNCTION("IFERROR(MAX(FILTER(VENTES!$A:$A,VENTES!$C:$C=$A72)),"""")"),0.0)</f>
        <v>0</v>
      </c>
      <c r="G72" s="60">
        <f t="shared" si="1"/>
        <v>1520</v>
      </c>
      <c r="H72" s="61">
        <f>IFERROR(__xludf.DUMMYFUNCTION("IF(D72=0,0,D72 /MONTH(COUNTUNIQUE(FILTRE(VENTES!$A:$A,VENTES!$C:$C=$A72)))
)"),0.0)</f>
        <v>0</v>
      </c>
      <c r="I72" s="62" t="str">
        <f>IF(G72="","",IF(G72 &gt; PARAMETRES!B75,"À RELANCER","OK"))
</f>
        <v>À RELANCER</v>
      </c>
    </row>
    <row r="73" ht="15.75" customHeight="1">
      <c r="B73" s="27" t="str">
        <f>IFERROR(VLOOKUP($A73,VENTES!$C:E,3,FALSE),"")
</f>
        <v/>
      </c>
      <c r="C73" s="27"/>
      <c r="D73" s="27">
        <f>COUNTIF(VENTES!$C:$C,$A73)
</f>
        <v>0</v>
      </c>
      <c r="E73" s="58">
        <f>SUMIF(VENTES!$C:$C,$A73,VENTES!$F:$F)
</f>
        <v>0</v>
      </c>
      <c r="F73" s="59">
        <f>IFERROR(__xludf.DUMMYFUNCTION("IFERROR(MAX(FILTER(VENTES!$A:$A,VENTES!$C:$C=$A73)),"""")"),0.0)</f>
        <v>0</v>
      </c>
      <c r="G73" s="60">
        <f t="shared" si="1"/>
        <v>1520</v>
      </c>
      <c r="H73" s="61">
        <f>IFERROR(__xludf.DUMMYFUNCTION("IF(D73=0,0,D73 /MONTH(COUNTUNIQUE(FILTRE(VENTES!$A:$A,VENTES!$C:$C=$A73)))
)"),0.0)</f>
        <v>0</v>
      </c>
      <c r="I73" s="6"/>
    </row>
    <row r="74" ht="15.75" customHeight="1">
      <c r="B74" s="27" t="str">
        <f>IFERROR(VLOOKUP($A74,VENTES!$C:E,3,FALSE),"")
</f>
        <v/>
      </c>
      <c r="C74" s="27"/>
      <c r="D74" s="27">
        <f>COUNTIF(VENTES!$C:$C,$A74)
</f>
        <v>0</v>
      </c>
      <c r="E74" s="58">
        <f>SUMIF(VENTES!$C:$C,$A74,VENTES!$F:$F)
</f>
        <v>0</v>
      </c>
      <c r="F74" s="59">
        <f>IFERROR(__xludf.DUMMYFUNCTION("IFERROR(MAX(FILTER(VENTES!$A:$A,VENTES!$C:$C=$A74)),"""")"),0.0)</f>
        <v>0</v>
      </c>
      <c r="G74" s="60">
        <f t="shared" si="1"/>
        <v>1520</v>
      </c>
      <c r="H74" s="61">
        <f>IFERROR(__xludf.DUMMYFUNCTION("IF(D74=0,0,D74 /MONTH(COUNTUNIQUE(FILTRE(VENTES!$A:$A,VENTES!$C:$C=$A74)))
)"),0.0)</f>
        <v>0</v>
      </c>
      <c r="I74" s="6"/>
    </row>
    <row r="75" ht="15.75" customHeight="1">
      <c r="B75" s="27" t="str">
        <f>IFERROR(VLOOKUP($A75,VENTES!$C:E,3,FALSE),"")
</f>
        <v/>
      </c>
      <c r="D75" s="27">
        <f>COUNTIF(VENTES!$C:$C,$A75)
</f>
        <v>0</v>
      </c>
      <c r="E75" s="58">
        <f>SUMIF(VENTES!$C:$C,$A75,VENTES!$F:$F)
</f>
        <v>0</v>
      </c>
      <c r="F75" s="59">
        <f>IFERROR(__xludf.DUMMYFUNCTION("IFERROR(MAX(FILTER(VENTES!$A:$A,VENTES!$C:$C=$A75)),"""")"),0.0)</f>
        <v>0</v>
      </c>
      <c r="G75" s="60">
        <f t="shared" si="1"/>
        <v>1520</v>
      </c>
      <c r="H75" s="61">
        <f>IFERROR(__xludf.DUMMYFUNCTION("IF(D75=0,0,D75 /MONTH(COUNTUNIQUE(FILTRE(VENTES!$A:$A,VENTES!$C:$C=$A75)))
)"),0.0)</f>
        <v>0</v>
      </c>
      <c r="I75" s="6"/>
    </row>
    <row r="76" ht="15.75" customHeight="1">
      <c r="B76" s="27" t="str">
        <f>IFERROR(VLOOKUP($A76,VENTES!$C:E,3,FALSE),"")
</f>
        <v/>
      </c>
      <c r="D76" s="27">
        <f>COUNTIF(VENTES!$C:$C,$A76)
</f>
        <v>0</v>
      </c>
      <c r="E76" s="58">
        <f>SUMIF(VENTES!$C:$C,$A76,VENTES!$F:$F)
</f>
        <v>0</v>
      </c>
      <c r="F76" s="59">
        <f>IFERROR(__xludf.DUMMYFUNCTION("IFERROR(MAX(FILTER(VENTES!$A:$A,VENTES!$C:$C=$A76)),"""")"),0.0)</f>
        <v>0</v>
      </c>
      <c r="G76" s="60">
        <f t="shared" si="1"/>
        <v>1520</v>
      </c>
      <c r="H76" s="61">
        <f>IFERROR(__xludf.DUMMYFUNCTION("IF(D76=0,0,D76 /MONTH(COUNTUNIQUE(FILTRE(VENTES!$A:$A,VENTES!$C:$C=$A76)))
)"),0.0)</f>
        <v>0</v>
      </c>
      <c r="I76" s="6"/>
    </row>
    <row r="77" ht="15.75" customHeight="1">
      <c r="B77" s="27" t="str">
        <f>IFERROR(VLOOKUP($A77,VENTES!$C:E,3,FALSE),"")
</f>
        <v/>
      </c>
      <c r="D77" s="27">
        <f>COUNTIF(VENTES!$C:$C,$A77)
</f>
        <v>0</v>
      </c>
      <c r="E77" s="58">
        <f>SUMIF(VENTES!$C:$C,$A77,VENTES!$F:$F)
</f>
        <v>0</v>
      </c>
      <c r="F77" s="59">
        <f>IFERROR(__xludf.DUMMYFUNCTION("IFERROR(MAX(FILTER(VENTES!$A:$A,VENTES!$C:$C=$A77)),"""")"),0.0)</f>
        <v>0</v>
      </c>
      <c r="G77" s="60">
        <f t="shared" si="1"/>
        <v>1520</v>
      </c>
      <c r="H77" s="61">
        <f>IFERROR(__xludf.DUMMYFUNCTION("IF(D77=0,0,D77 /MONTH(COUNTUNIQUE(FILTRE(VENTES!$A:$A,VENTES!$C:$C=$A77)))
)"),0.0)</f>
        <v>0</v>
      </c>
      <c r="I77" s="6"/>
    </row>
    <row r="78" ht="15.75" customHeight="1">
      <c r="B78" s="27" t="str">
        <f>IFERROR(VLOOKUP($A78,VENTES!$C:E,3,FALSE),"")
</f>
        <v/>
      </c>
      <c r="D78" s="27">
        <f>COUNTIF(VENTES!$C:$C,$A78)
</f>
        <v>0</v>
      </c>
      <c r="E78" s="58">
        <f>SUMIF(VENTES!$C:$C,$A78,VENTES!$F:$F)
</f>
        <v>0</v>
      </c>
      <c r="F78" s="59">
        <f>IFERROR(__xludf.DUMMYFUNCTION("IFERROR(MAX(FILTER(VENTES!$A:$A,VENTES!$C:$C=$A78)),"""")"),0.0)</f>
        <v>0</v>
      </c>
      <c r="G78" s="60">
        <f t="shared" si="1"/>
        <v>1520</v>
      </c>
      <c r="H78" s="61">
        <f>IFERROR(__xludf.DUMMYFUNCTION("IF(D78=0,0,D78 /MONTH(COUNTUNIQUE(FILTRE(VENTES!$A:$A,VENTES!$C:$C=$A78)))
)"),0.0)</f>
        <v>0</v>
      </c>
      <c r="I78" s="6"/>
    </row>
    <row r="79" ht="15.75" customHeight="1">
      <c r="B79" s="27" t="str">
        <f>IFERROR(VLOOKUP($A79,VENTES!$C:E,3,FALSE),"")
</f>
        <v/>
      </c>
      <c r="D79" s="27">
        <f>COUNTIF(VENTES!$C:$C,$A79)
</f>
        <v>0</v>
      </c>
      <c r="E79" s="58">
        <f>SUMIF(VENTES!$C:$C,$A79,VENTES!$F:$F)
</f>
        <v>0</v>
      </c>
      <c r="F79" s="59">
        <f>IFERROR(__xludf.DUMMYFUNCTION("IFERROR(MAX(FILTER(VENTES!$A:$A,VENTES!$C:$C=$A79)),"""")"),0.0)</f>
        <v>0</v>
      </c>
      <c r="G79" s="60">
        <f t="shared" si="1"/>
        <v>1520</v>
      </c>
      <c r="H79" s="61">
        <f>IFERROR(__xludf.DUMMYFUNCTION("IF(D79=0,0,D79 /MONTH(COUNTUNIQUE(FILTRE(VENTES!$A:$A,VENTES!$C:$C=$A79)))
)"),0.0)</f>
        <v>0</v>
      </c>
      <c r="I79" s="6"/>
    </row>
    <row r="80" ht="15.75" customHeight="1">
      <c r="B80" s="27" t="str">
        <f>IFERROR(VLOOKUP($A80,VENTES!$C:E,3,FALSE),"")
</f>
        <v/>
      </c>
      <c r="D80" s="27">
        <f>COUNTIF(VENTES!$C:$C,$A80)
</f>
        <v>0</v>
      </c>
      <c r="E80" s="58">
        <f>SUMIF(VENTES!$C:$C,$A80,VENTES!$F:$F)
</f>
        <v>0</v>
      </c>
      <c r="F80" s="59">
        <f>IFERROR(__xludf.DUMMYFUNCTION("IFERROR(MAX(FILTER(VENTES!$A:$A,VENTES!$C:$C=$A80)),"""")"),0.0)</f>
        <v>0</v>
      </c>
      <c r="G80" s="60">
        <f t="shared" si="1"/>
        <v>1520</v>
      </c>
      <c r="H80" s="61">
        <f>IFERROR(__xludf.DUMMYFUNCTION("IF(D80=0,0,D80 /MONTH(COUNTUNIQUE(FILTRE(VENTES!$A:$A,VENTES!$C:$C=$A80)))
)"),0.0)</f>
        <v>0</v>
      </c>
      <c r="I80" s="6"/>
    </row>
    <row r="81" ht="15.75" customHeight="1">
      <c r="D81" s="27">
        <f>COUNTIF(VENTES!$C:$C,$A81)
</f>
        <v>0</v>
      </c>
      <c r="E81" s="58">
        <f>SUMIF(VENTES!$C:$C,$A81,VENTES!$F:$F)
</f>
        <v>0</v>
      </c>
      <c r="G81" s="60" t="str">
        <f t="shared" si="1"/>
        <v/>
      </c>
      <c r="H81" s="61">
        <f>IFERROR(__xludf.DUMMYFUNCTION("IF(D81=0,0,D81 /MONTH(COUNTUNIQUE(FILTRE(VENTES!$A:$A,VENTES!$C:$C=$A81)))
)"),0.0)</f>
        <v>0</v>
      </c>
      <c r="I81" s="6"/>
    </row>
    <row r="82" ht="15.75" customHeight="1">
      <c r="D82" s="27">
        <f>COUNTIF(VENTES!$C:$C,$A82)
</f>
        <v>0</v>
      </c>
      <c r="E82" s="58">
        <f>SUMIF(VENTES!$C:$C,$A82,VENTES!$F:$F)
</f>
        <v>0</v>
      </c>
      <c r="G82" s="60" t="str">
        <f t="shared" si="1"/>
        <v/>
      </c>
      <c r="H82" s="61">
        <f>IFERROR(__xludf.DUMMYFUNCTION("IF(D82=0,0,D82 /MONTH(COUNTUNIQUE(FILTRE(VENTES!$A:$A,VENTES!$C:$C=$A82)))
)"),0.0)</f>
        <v>0</v>
      </c>
      <c r="I82" s="6"/>
    </row>
    <row r="83" ht="15.75" customHeight="1">
      <c r="D83" s="27">
        <f>COUNTIF(VENTES!$C:$C,$A83)
</f>
        <v>0</v>
      </c>
      <c r="E83" s="58">
        <f>SUMIF(VENTES!$C:$C,$A83,VENTES!$F:$F)
</f>
        <v>0</v>
      </c>
      <c r="G83" s="60" t="str">
        <f t="shared" si="1"/>
        <v/>
      </c>
      <c r="H83" s="61">
        <f>IFERROR(__xludf.DUMMYFUNCTION("IF(D83=0,0,D83 /MONTH(COUNTUNIQUE(FILTRE(VENTES!$A:$A,VENTES!$C:$C=$A83)))
)"),0.0)</f>
        <v>0</v>
      </c>
      <c r="I83" s="6"/>
    </row>
    <row r="84" ht="15.75" customHeight="1">
      <c r="D84" s="27">
        <f>COUNTIF(VENTES!$C:$C,$A84)
</f>
        <v>0</v>
      </c>
      <c r="E84" s="58">
        <f>SUMIF(VENTES!$C:$C,$A84,VENTES!$F:$F)
</f>
        <v>0</v>
      </c>
      <c r="G84" s="60" t="str">
        <f t="shared" si="1"/>
        <v/>
      </c>
      <c r="H84" s="61">
        <f>IFERROR(__xludf.DUMMYFUNCTION("IF(D84=0,0,D84 /MONTH(COUNTUNIQUE(FILTRE(VENTES!$A:$A,VENTES!$C:$C=$A84)))
)"),0.0)</f>
        <v>0</v>
      </c>
      <c r="I84" s="6"/>
    </row>
    <row r="85" ht="15.75" customHeight="1">
      <c r="D85" s="27">
        <f>COUNTIF(VENTES!$C:$C,$A85)
</f>
        <v>0</v>
      </c>
      <c r="E85" s="58">
        <f>SUMIF(VENTES!$C:$C,$A85,VENTES!$F:$F)
</f>
        <v>0</v>
      </c>
      <c r="I85" s="6"/>
    </row>
    <row r="86" ht="15.75" customHeight="1">
      <c r="D86" s="27">
        <f>COUNTIF(VENTES!$C:$C,$A86)
</f>
        <v>0</v>
      </c>
      <c r="E86" s="58">
        <f>SUMIF(VENTES!$C:$C,$A86,VENTES!$F:$F)
</f>
        <v>0</v>
      </c>
      <c r="I86" s="6"/>
    </row>
    <row r="87" ht="15.75" customHeight="1">
      <c r="E87" s="58">
        <f>SUMIF(VENTES!$C:$C,$A87,VENTES!$F:$F)
</f>
        <v>0</v>
      </c>
      <c r="I87" s="6"/>
    </row>
    <row r="88" ht="15.75" customHeight="1">
      <c r="E88" s="58">
        <f>SUMIF(VENTES!$C:$C,$A88,VENTES!$F:$F)
</f>
        <v>0</v>
      </c>
      <c r="I88" s="6"/>
    </row>
    <row r="89" ht="15.75" customHeight="1">
      <c r="E89" s="58">
        <f>SUMIF(VENTES!$C:$C,$A89,VENTES!$F:$F)
</f>
        <v>0</v>
      </c>
      <c r="I89" s="6"/>
    </row>
    <row r="90" ht="15.75" customHeight="1">
      <c r="E90" s="58">
        <f>SUMIF(VENTES!$C:$C,$A90,VENTES!$F:$F)
</f>
        <v>0</v>
      </c>
      <c r="I90" s="6"/>
    </row>
    <row r="91" ht="15.75" customHeight="1">
      <c r="E91" s="58">
        <f>SUMIF(VENTES!$C:$C,$A91,VENTES!$F:$F)
</f>
        <v>0</v>
      </c>
      <c r="I91" s="6"/>
    </row>
    <row r="92" ht="15.75" customHeight="1">
      <c r="E92" s="58">
        <f>SUMIF(VENTES!$C:$C,$A92,VENTES!$F:$F)
</f>
        <v>0</v>
      </c>
      <c r="I92" s="6"/>
    </row>
    <row r="93" ht="15.75" customHeight="1">
      <c r="E93" s="58">
        <f>SUMIF(VENTES!$C:$C,$A93,VENTES!$F:$F)
</f>
        <v>0</v>
      </c>
      <c r="I93" s="6"/>
    </row>
    <row r="94" ht="15.75" customHeight="1">
      <c r="E94" s="58">
        <f>SUMIF(VENTES!$C:$C,$A94,VENTES!$F:$F)
</f>
        <v>0</v>
      </c>
      <c r="I94" s="6"/>
    </row>
    <row r="95" ht="15.75" customHeight="1">
      <c r="E95" s="58">
        <f>SUMIF(VENTES!$C:$C,$A95,VENTES!$F:$F)
</f>
        <v>0</v>
      </c>
      <c r="I95" s="6"/>
    </row>
    <row r="96" ht="15.75" customHeight="1">
      <c r="E96" s="58">
        <f>SUMIF(VENTES!$C:$C,$A96,VENTES!$F:$F)
</f>
        <v>0</v>
      </c>
      <c r="I96" s="6"/>
    </row>
    <row r="97" ht="15.75" customHeight="1">
      <c r="I97" s="6"/>
    </row>
    <row r="98" ht="15.75" customHeight="1">
      <c r="I98" s="6"/>
    </row>
    <row r="99" ht="15.75" customHeight="1">
      <c r="I99" s="6"/>
    </row>
    <row r="100" ht="15.75" customHeight="1">
      <c r="I100" s="6"/>
    </row>
    <row r="101" ht="15.75" customHeight="1">
      <c r="I101" s="6"/>
    </row>
    <row r="102" ht="15.75" customHeight="1">
      <c r="I102" s="6"/>
    </row>
    <row r="103" ht="15.75" customHeight="1">
      <c r="I103" s="6"/>
    </row>
    <row r="104" ht="15.75" customHeight="1">
      <c r="I104" s="6"/>
    </row>
    <row r="105" ht="15.75" customHeight="1">
      <c r="I105" s="6"/>
    </row>
    <row r="106" ht="15.75" customHeight="1">
      <c r="I106" s="6"/>
    </row>
    <row r="107" ht="15.75" customHeight="1">
      <c r="I107" s="6"/>
    </row>
    <row r="108" ht="15.75" customHeight="1">
      <c r="I108" s="6"/>
    </row>
    <row r="109" ht="15.75" customHeight="1">
      <c r="I109" s="6"/>
    </row>
    <row r="110" ht="15.75" customHeight="1">
      <c r="I110" s="6"/>
    </row>
    <row r="111" ht="15.75" customHeight="1">
      <c r="I111" s="6"/>
    </row>
    <row r="112" ht="15.75" customHeight="1">
      <c r="I112" s="6"/>
    </row>
    <row r="113" ht="15.75" customHeight="1">
      <c r="I113" s="6"/>
    </row>
    <row r="114" ht="15.75" customHeight="1">
      <c r="I114" s="6"/>
    </row>
    <row r="115" ht="15.75" customHeight="1">
      <c r="I115" s="6"/>
    </row>
    <row r="116" ht="15.75" customHeight="1">
      <c r="I116" s="6"/>
    </row>
    <row r="117" ht="15.75" customHeight="1">
      <c r="I117" s="6"/>
    </row>
    <row r="118" ht="15.75" customHeight="1">
      <c r="I118" s="6"/>
    </row>
    <row r="119" ht="15.75" customHeight="1">
      <c r="I119" s="6"/>
    </row>
    <row r="120" ht="15.75" customHeight="1">
      <c r="I120" s="6"/>
    </row>
    <row r="121" ht="15.75" customHeight="1">
      <c r="I121" s="6"/>
    </row>
    <row r="122" ht="15.75" customHeight="1">
      <c r="I122" s="6"/>
    </row>
    <row r="123" ht="15.75" customHeight="1">
      <c r="I123" s="6"/>
    </row>
    <row r="124" ht="15.75" customHeight="1">
      <c r="I124" s="6"/>
    </row>
    <row r="125" ht="15.75" customHeight="1">
      <c r="I125" s="6"/>
    </row>
    <row r="126" ht="15.75" customHeight="1">
      <c r="I126" s="6"/>
    </row>
    <row r="127" ht="15.75" customHeight="1">
      <c r="I127" s="6"/>
    </row>
    <row r="128" ht="15.75" customHeight="1">
      <c r="I128" s="6"/>
    </row>
    <row r="129" ht="15.75" customHeight="1">
      <c r="I129" s="6"/>
    </row>
    <row r="130" ht="15.75" customHeight="1">
      <c r="I130" s="6"/>
    </row>
    <row r="131" ht="15.75" customHeight="1">
      <c r="I131" s="6"/>
    </row>
    <row r="132" ht="15.75" customHeight="1">
      <c r="I132" s="6"/>
    </row>
    <row r="133" ht="15.75" customHeight="1">
      <c r="I133" s="6"/>
    </row>
    <row r="134" ht="15.75" customHeight="1">
      <c r="I134" s="6"/>
    </row>
    <row r="135" ht="15.75" customHeight="1">
      <c r="I135" s="6"/>
    </row>
    <row r="136" ht="15.75" customHeight="1">
      <c r="I136" s="6"/>
    </row>
    <row r="137" ht="15.75" customHeight="1">
      <c r="I137" s="6"/>
    </row>
    <row r="138" ht="15.75" customHeight="1">
      <c r="I138" s="6"/>
    </row>
    <row r="139" ht="15.75" customHeight="1">
      <c r="I139" s="6"/>
    </row>
    <row r="140" ht="15.75" customHeight="1">
      <c r="I140" s="6"/>
    </row>
    <row r="141" ht="15.75" customHeight="1">
      <c r="I141" s="6"/>
    </row>
    <row r="142" ht="15.75" customHeight="1">
      <c r="I142" s="6"/>
    </row>
    <row r="143" ht="15.75" customHeight="1">
      <c r="I143" s="6"/>
    </row>
    <row r="144" ht="15.75" customHeight="1">
      <c r="I144" s="6"/>
    </row>
    <row r="145" ht="15.75" customHeight="1">
      <c r="I145" s="6"/>
    </row>
    <row r="146" ht="15.75" customHeight="1">
      <c r="I146" s="6"/>
    </row>
    <row r="147" ht="15.75" customHeight="1">
      <c r="I147" s="6"/>
    </row>
    <row r="148" ht="15.75" customHeight="1">
      <c r="I148" s="6"/>
    </row>
    <row r="149" ht="15.75" customHeight="1">
      <c r="I149" s="6"/>
    </row>
    <row r="150" ht="15.75" customHeight="1">
      <c r="I150" s="6"/>
    </row>
    <row r="151" ht="15.75" customHeight="1">
      <c r="I151" s="6"/>
    </row>
    <row r="152" ht="15.75" customHeight="1">
      <c r="I152" s="6"/>
    </row>
    <row r="153" ht="15.75" customHeight="1">
      <c r="I153" s="6"/>
    </row>
    <row r="154" ht="15.75" customHeight="1">
      <c r="I154" s="6"/>
    </row>
    <row r="155" ht="15.75" customHeight="1">
      <c r="I155" s="6"/>
    </row>
    <row r="156" ht="15.75" customHeight="1">
      <c r="I156" s="6"/>
    </row>
    <row r="157" ht="15.75" customHeight="1">
      <c r="I157" s="6"/>
    </row>
    <row r="158" ht="15.75" customHeight="1">
      <c r="I158" s="6"/>
    </row>
    <row r="159" ht="15.75" customHeight="1">
      <c r="I159" s="6"/>
    </row>
    <row r="160" ht="15.75" customHeight="1">
      <c r="I160" s="6"/>
    </row>
    <row r="161" ht="15.75" customHeight="1">
      <c r="I161" s="6"/>
    </row>
    <row r="162" ht="15.75" customHeight="1">
      <c r="I162" s="6"/>
    </row>
    <row r="163" ht="15.75" customHeight="1">
      <c r="I163" s="6"/>
    </row>
    <row r="164" ht="15.75" customHeight="1">
      <c r="I164" s="6"/>
    </row>
    <row r="165" ht="15.75" customHeight="1">
      <c r="I165" s="6"/>
    </row>
    <row r="166" ht="15.75" customHeight="1">
      <c r="I166" s="6"/>
    </row>
    <row r="167" ht="15.75" customHeight="1">
      <c r="I167" s="6"/>
    </row>
    <row r="168" ht="15.75" customHeight="1">
      <c r="I168" s="6"/>
    </row>
    <row r="169" ht="15.75" customHeight="1">
      <c r="I169" s="6"/>
    </row>
    <row r="170" ht="15.75" customHeight="1">
      <c r="I170" s="6"/>
    </row>
    <row r="171" ht="15.75" customHeight="1">
      <c r="I171" s="6"/>
    </row>
    <row r="172" ht="15.75" customHeight="1">
      <c r="I172" s="6"/>
    </row>
    <row r="173" ht="15.75" customHeight="1">
      <c r="I173" s="6"/>
    </row>
    <row r="174" ht="15.75" customHeight="1">
      <c r="I174" s="6"/>
    </row>
    <row r="175" ht="15.75" customHeight="1">
      <c r="I175" s="6"/>
    </row>
    <row r="176" ht="15.75" customHeight="1">
      <c r="I176" s="6"/>
    </row>
    <row r="177" ht="15.75" customHeight="1">
      <c r="I177" s="6"/>
    </row>
    <row r="178" ht="15.75" customHeight="1">
      <c r="I178" s="6"/>
    </row>
    <row r="179" ht="15.75" customHeight="1">
      <c r="I179" s="6"/>
    </row>
    <row r="180" ht="15.75" customHeight="1">
      <c r="I180" s="6"/>
    </row>
    <row r="181" ht="15.75" customHeight="1">
      <c r="I181" s="6"/>
    </row>
    <row r="182" ht="15.75" customHeight="1">
      <c r="I182" s="6"/>
    </row>
    <row r="183" ht="15.75" customHeight="1">
      <c r="I183" s="6"/>
    </row>
    <row r="184" ht="15.75" customHeight="1">
      <c r="I184" s="6"/>
    </row>
    <row r="185" ht="15.75" customHeight="1">
      <c r="I185" s="6"/>
    </row>
    <row r="186" ht="15.75" customHeight="1">
      <c r="I186" s="6"/>
    </row>
    <row r="187" ht="15.75" customHeight="1">
      <c r="I187" s="6"/>
    </row>
    <row r="188" ht="15.75" customHeight="1">
      <c r="I188" s="6"/>
    </row>
    <row r="189" ht="15.75" customHeight="1">
      <c r="I189" s="6"/>
    </row>
    <row r="190" ht="15.75" customHeight="1">
      <c r="I190" s="6"/>
    </row>
    <row r="191" ht="15.75" customHeight="1">
      <c r="I191" s="6"/>
    </row>
    <row r="192" ht="15.75" customHeight="1">
      <c r="I192" s="6"/>
    </row>
    <row r="193" ht="15.75" customHeight="1">
      <c r="I193" s="6"/>
    </row>
    <row r="194" ht="15.75" customHeight="1">
      <c r="I194" s="6"/>
    </row>
    <row r="195" ht="15.75" customHeight="1">
      <c r="I195" s="6"/>
    </row>
    <row r="196" ht="15.75" customHeight="1">
      <c r="I196" s="6"/>
    </row>
    <row r="197" ht="15.75" customHeight="1">
      <c r="I197" s="6"/>
    </row>
    <row r="198" ht="15.75" customHeight="1">
      <c r="I198" s="6"/>
    </row>
    <row r="199" ht="15.75" customHeight="1">
      <c r="I199" s="6"/>
    </row>
    <row r="200" ht="15.75" customHeight="1">
      <c r="I200" s="6"/>
    </row>
    <row r="201" ht="15.75" customHeight="1">
      <c r="I201" s="6"/>
    </row>
    <row r="202" ht="15.75" customHeight="1">
      <c r="I202" s="6"/>
    </row>
    <row r="203" ht="15.75" customHeight="1">
      <c r="I203" s="6"/>
    </row>
    <row r="204" ht="15.75" customHeight="1">
      <c r="I204" s="6"/>
    </row>
    <row r="205" ht="15.75" customHeight="1">
      <c r="I205" s="6"/>
    </row>
    <row r="206" ht="15.75" customHeight="1">
      <c r="I206" s="6"/>
    </row>
    <row r="207" ht="15.75" customHeight="1">
      <c r="I207" s="6"/>
    </row>
    <row r="208" ht="15.75" customHeight="1">
      <c r="I208" s="6"/>
    </row>
    <row r="209" ht="15.75" customHeight="1">
      <c r="I209" s="6"/>
    </row>
    <row r="210" ht="15.75" customHeight="1">
      <c r="I210" s="6"/>
    </row>
    <row r="211" ht="15.75" customHeight="1">
      <c r="I211" s="6"/>
    </row>
    <row r="212" ht="15.75" customHeight="1">
      <c r="I212" s="6"/>
    </row>
    <row r="213" ht="15.75" customHeight="1">
      <c r="I213" s="6"/>
    </row>
    <row r="214" ht="15.75" customHeight="1">
      <c r="I214" s="6"/>
    </row>
    <row r="215" ht="15.75" customHeight="1">
      <c r="I215" s="6"/>
    </row>
    <row r="216" ht="15.75" customHeight="1">
      <c r="I216" s="6"/>
    </row>
    <row r="217" ht="15.75" customHeight="1">
      <c r="I217" s="6"/>
    </row>
    <row r="218" ht="15.75" customHeight="1">
      <c r="I218" s="6"/>
    </row>
    <row r="219" ht="15.75" customHeight="1">
      <c r="I219" s="6"/>
    </row>
    <row r="220" ht="15.75" customHeight="1">
      <c r="I220" s="6"/>
    </row>
    <row r="221" ht="15.75" customHeight="1">
      <c r="I221" s="6"/>
    </row>
    <row r="222" ht="15.75" customHeight="1">
      <c r="I222" s="6"/>
    </row>
    <row r="223" ht="15.75" customHeight="1">
      <c r="I223" s="6"/>
    </row>
    <row r="224" ht="15.75" customHeight="1">
      <c r="I224" s="6"/>
    </row>
    <row r="225" ht="15.75" customHeight="1">
      <c r="I225" s="6"/>
    </row>
    <row r="226" ht="15.75" customHeight="1">
      <c r="I226" s="6"/>
    </row>
    <row r="227" ht="15.75" customHeight="1">
      <c r="I227" s="6"/>
    </row>
    <row r="228" ht="15.75" customHeight="1">
      <c r="I228" s="6"/>
    </row>
    <row r="229" ht="15.75" customHeight="1">
      <c r="I229" s="6"/>
    </row>
    <row r="230" ht="15.75" customHeight="1">
      <c r="I230" s="6"/>
    </row>
    <row r="231" ht="15.75" customHeight="1">
      <c r="I231" s="6"/>
    </row>
    <row r="232" ht="15.75" customHeight="1">
      <c r="I232" s="6"/>
    </row>
    <row r="233" ht="15.75" customHeight="1">
      <c r="I233" s="6"/>
    </row>
    <row r="234" ht="15.75" customHeight="1">
      <c r="I234" s="6"/>
    </row>
    <row r="235" ht="15.75" customHeight="1">
      <c r="I235" s="6"/>
    </row>
    <row r="236" ht="15.75" customHeight="1">
      <c r="I236" s="6"/>
    </row>
    <row r="237" ht="15.75" customHeight="1">
      <c r="I237" s="6"/>
    </row>
    <row r="238" ht="15.75" customHeight="1">
      <c r="I238" s="6"/>
    </row>
    <row r="239" ht="15.75" customHeight="1">
      <c r="I239" s="6"/>
    </row>
    <row r="240" ht="15.75" customHeight="1">
      <c r="I240" s="6"/>
    </row>
    <row r="241" ht="15.75" customHeight="1">
      <c r="I241" s="6"/>
    </row>
    <row r="242" ht="15.75" customHeight="1">
      <c r="I242" s="6"/>
    </row>
    <row r="243" ht="15.75" customHeight="1">
      <c r="I243" s="6"/>
    </row>
    <row r="244" ht="15.75" customHeight="1">
      <c r="I244" s="6"/>
    </row>
    <row r="245" ht="15.75" customHeight="1">
      <c r="I245" s="6"/>
    </row>
    <row r="246" ht="15.75" customHeight="1">
      <c r="I246" s="6"/>
    </row>
    <row r="247" ht="15.75" customHeight="1">
      <c r="I247" s="6"/>
    </row>
    <row r="248" ht="15.75" customHeight="1">
      <c r="I248" s="6"/>
    </row>
    <row r="249" ht="15.75" customHeight="1">
      <c r="I249" s="6"/>
    </row>
    <row r="250" ht="15.75" customHeight="1">
      <c r="I250" s="6"/>
    </row>
    <row r="251" ht="15.75" customHeight="1">
      <c r="I251" s="6"/>
    </row>
    <row r="252" ht="15.75" customHeight="1">
      <c r="I252" s="6"/>
    </row>
    <row r="253" ht="15.75" customHeight="1">
      <c r="I253" s="6"/>
    </row>
    <row r="254" ht="15.75" customHeight="1">
      <c r="I254" s="6"/>
    </row>
    <row r="255" ht="15.75" customHeight="1">
      <c r="I255" s="6"/>
    </row>
    <row r="256" ht="15.75" customHeight="1">
      <c r="I256" s="6"/>
    </row>
    <row r="257" ht="15.75" customHeight="1">
      <c r="I257" s="6"/>
    </row>
    <row r="258" ht="15.75" customHeight="1">
      <c r="I258" s="6"/>
    </row>
    <row r="259" ht="15.75" customHeight="1">
      <c r="I259" s="6"/>
    </row>
    <row r="260" ht="15.75" customHeight="1">
      <c r="I260" s="6"/>
    </row>
    <row r="261" ht="15.75" customHeight="1">
      <c r="I261" s="6"/>
    </row>
    <row r="262" ht="15.75" customHeight="1">
      <c r="I262" s="6"/>
    </row>
    <row r="263" ht="15.75" customHeight="1">
      <c r="I263" s="6"/>
    </row>
    <row r="264" ht="15.75" customHeight="1">
      <c r="I264" s="6"/>
    </row>
    <row r="265" ht="15.75" customHeight="1">
      <c r="I265" s="6"/>
    </row>
    <row r="266" ht="15.75" customHeight="1">
      <c r="I266" s="6"/>
    </row>
    <row r="267" ht="15.75" customHeight="1">
      <c r="I267" s="6"/>
    </row>
    <row r="268" ht="15.75" customHeight="1">
      <c r="I268" s="6"/>
    </row>
    <row r="269" ht="15.75" customHeight="1">
      <c r="I269" s="6"/>
    </row>
    <row r="270" ht="15.75" customHeight="1">
      <c r="I270" s="6"/>
    </row>
    <row r="271" ht="15.75" customHeight="1">
      <c r="I271" s="6"/>
    </row>
    <row r="272" ht="15.75" customHeight="1">
      <c r="I272" s="6"/>
    </row>
    <row r="273" ht="15.75" customHeight="1">
      <c r="I273" s="6"/>
    </row>
    <row r="274" ht="15.75" customHeight="1">
      <c r="I274" s="6"/>
    </row>
    <row r="275" ht="15.75" customHeight="1">
      <c r="I275" s="6"/>
    </row>
    <row r="276" ht="15.75" customHeight="1">
      <c r="I276" s="6"/>
    </row>
    <row r="277" ht="15.75" customHeight="1">
      <c r="I277" s="6"/>
    </row>
    <row r="278" ht="15.75" customHeight="1">
      <c r="I278" s="6"/>
    </row>
    <row r="279" ht="15.75" customHeight="1">
      <c r="I279" s="6"/>
    </row>
    <row r="280" ht="15.75" customHeight="1">
      <c r="I280" s="6"/>
    </row>
    <row r="281" ht="15.75" customHeight="1">
      <c r="I281" s="6"/>
    </row>
    <row r="282" ht="15.75" customHeight="1">
      <c r="I282" s="6"/>
    </row>
    <row r="283" ht="15.75" customHeight="1">
      <c r="I283" s="6"/>
    </row>
    <row r="284" ht="15.75" customHeight="1">
      <c r="I284" s="6"/>
    </row>
    <row r="285" ht="15.75" customHeight="1">
      <c r="I285" s="6"/>
    </row>
    <row r="286" ht="15.75" customHeight="1">
      <c r="I286" s="6"/>
    </row>
    <row r="287" ht="15.75" customHeight="1">
      <c r="I287" s="6"/>
    </row>
    <row r="288" ht="15.75" customHeight="1">
      <c r="I288" s="6"/>
    </row>
    <row r="289" ht="15.75" customHeight="1">
      <c r="I289" s="6"/>
    </row>
    <row r="290" ht="15.75" customHeight="1">
      <c r="I290" s="6"/>
    </row>
    <row r="291" ht="15.75" customHeight="1">
      <c r="I291" s="6"/>
    </row>
    <row r="292" ht="15.75" customHeight="1">
      <c r="I292" s="6"/>
    </row>
    <row r="293" ht="15.75" customHeight="1">
      <c r="I293" s="6"/>
    </row>
    <row r="294" ht="15.75" customHeight="1">
      <c r="I294" s="6"/>
    </row>
    <row r="295" ht="15.75" customHeight="1">
      <c r="I295" s="6"/>
    </row>
    <row r="296" ht="15.75" customHeight="1">
      <c r="I296" s="6"/>
    </row>
    <row r="297" ht="15.75" customHeight="1">
      <c r="I297" s="6"/>
    </row>
    <row r="298" ht="15.75" customHeight="1">
      <c r="I298" s="6"/>
    </row>
    <row r="299" ht="15.75" customHeight="1">
      <c r="I299" s="6"/>
    </row>
    <row r="300" ht="15.75" customHeight="1">
      <c r="I300" s="6"/>
    </row>
    <row r="301" ht="15.75" customHeight="1">
      <c r="I301" s="6"/>
    </row>
    <row r="302" ht="15.75" customHeight="1">
      <c r="I302" s="6"/>
    </row>
    <row r="303" ht="15.75" customHeight="1">
      <c r="I303" s="6"/>
    </row>
    <row r="304" ht="15.75" customHeight="1">
      <c r="I304" s="6"/>
    </row>
    <row r="305" ht="15.75" customHeight="1">
      <c r="I305" s="6"/>
    </row>
    <row r="306" ht="15.75" customHeight="1">
      <c r="I306" s="6"/>
    </row>
    <row r="307" ht="15.75" customHeight="1">
      <c r="I307" s="6"/>
    </row>
    <row r="308" ht="15.75" customHeight="1">
      <c r="I308" s="6"/>
    </row>
    <row r="309" ht="15.75" customHeight="1">
      <c r="I309" s="6"/>
    </row>
    <row r="310" ht="15.75" customHeight="1">
      <c r="I310" s="6"/>
    </row>
    <row r="311" ht="15.75" customHeight="1">
      <c r="I311" s="6"/>
    </row>
    <row r="312" ht="15.75" customHeight="1">
      <c r="I312" s="6"/>
    </row>
    <row r="313" ht="15.75" customHeight="1">
      <c r="I313" s="6"/>
    </row>
    <row r="314" ht="15.75" customHeight="1">
      <c r="I314" s="6"/>
    </row>
    <row r="315" ht="15.75" customHeight="1">
      <c r="I315" s="6"/>
    </row>
    <row r="316" ht="15.75" customHeight="1">
      <c r="I316" s="6"/>
    </row>
    <row r="317" ht="15.75" customHeight="1">
      <c r="I317" s="6"/>
    </row>
    <row r="318" ht="15.75" customHeight="1">
      <c r="I318" s="6"/>
    </row>
    <row r="319" ht="15.75" customHeight="1">
      <c r="I319" s="6"/>
    </row>
    <row r="320" ht="15.75" customHeight="1">
      <c r="I320" s="6"/>
    </row>
    <row r="321" ht="15.75" customHeight="1">
      <c r="I321" s="6"/>
    </row>
    <row r="322" ht="15.75" customHeight="1">
      <c r="I322" s="6"/>
    </row>
    <row r="323" ht="15.75" customHeight="1">
      <c r="I323" s="6"/>
    </row>
    <row r="324" ht="15.75" customHeight="1">
      <c r="I324" s="6"/>
    </row>
    <row r="325" ht="15.75" customHeight="1">
      <c r="I325" s="6"/>
    </row>
    <row r="326" ht="15.75" customHeight="1">
      <c r="I326" s="6"/>
    </row>
    <row r="327" ht="15.75" customHeight="1">
      <c r="I327" s="6"/>
    </row>
    <row r="328" ht="15.75" customHeight="1">
      <c r="I328" s="6"/>
    </row>
    <row r="329" ht="15.75" customHeight="1">
      <c r="I329" s="6"/>
    </row>
    <row r="330" ht="15.75" customHeight="1">
      <c r="I330" s="6"/>
    </row>
    <row r="331" ht="15.75" customHeight="1">
      <c r="I331" s="6"/>
    </row>
    <row r="332" ht="15.75" customHeight="1">
      <c r="I332" s="6"/>
    </row>
    <row r="333" ht="15.75" customHeight="1">
      <c r="I333" s="6"/>
    </row>
    <row r="334" ht="15.75" customHeight="1">
      <c r="I334" s="6"/>
    </row>
    <row r="335" ht="15.75" customHeight="1">
      <c r="I335" s="6"/>
    </row>
    <row r="336" ht="15.75" customHeight="1">
      <c r="I336" s="6"/>
    </row>
    <row r="337" ht="15.75" customHeight="1">
      <c r="I337" s="6"/>
    </row>
    <row r="338" ht="15.75" customHeight="1">
      <c r="I338" s="6"/>
    </row>
    <row r="339" ht="15.75" customHeight="1">
      <c r="I339" s="6"/>
    </row>
    <row r="340" ht="15.75" customHeight="1">
      <c r="I340" s="6"/>
    </row>
    <row r="341" ht="15.75" customHeight="1">
      <c r="I341" s="6"/>
    </row>
    <row r="342" ht="15.75" customHeight="1">
      <c r="I342" s="6"/>
    </row>
    <row r="343" ht="15.75" customHeight="1">
      <c r="I343" s="6"/>
    </row>
    <row r="344" ht="15.75" customHeight="1">
      <c r="I344" s="6"/>
    </row>
    <row r="345" ht="15.75" customHeight="1">
      <c r="I345" s="6"/>
    </row>
    <row r="346" ht="15.75" customHeight="1">
      <c r="I346" s="6"/>
    </row>
    <row r="347" ht="15.75" customHeight="1">
      <c r="I347" s="6"/>
    </row>
    <row r="348" ht="15.75" customHeight="1">
      <c r="I348" s="6"/>
    </row>
    <row r="349" ht="15.75" customHeight="1">
      <c r="I349" s="6"/>
    </row>
    <row r="350" ht="15.75" customHeight="1">
      <c r="I350" s="6"/>
    </row>
    <row r="351" ht="15.75" customHeight="1">
      <c r="I351" s="6"/>
    </row>
    <row r="352" ht="15.75" customHeight="1">
      <c r="I352" s="6"/>
    </row>
    <row r="353" ht="15.75" customHeight="1">
      <c r="I353" s="6"/>
    </row>
    <row r="354" ht="15.75" customHeight="1">
      <c r="I354" s="6"/>
    </row>
    <row r="355" ht="15.75" customHeight="1">
      <c r="I355" s="6"/>
    </row>
    <row r="356" ht="15.75" customHeight="1">
      <c r="I356" s="6"/>
    </row>
    <row r="357" ht="15.75" customHeight="1">
      <c r="I357" s="6"/>
    </row>
    <row r="358" ht="15.75" customHeight="1">
      <c r="I358" s="6"/>
    </row>
    <row r="359" ht="15.75" customHeight="1">
      <c r="I359" s="6"/>
    </row>
    <row r="360" ht="15.75" customHeight="1">
      <c r="I360" s="6"/>
    </row>
    <row r="361" ht="15.75" customHeight="1">
      <c r="I361" s="6"/>
    </row>
    <row r="362" ht="15.75" customHeight="1">
      <c r="I362" s="6"/>
    </row>
    <row r="363" ht="15.75" customHeight="1">
      <c r="I363" s="6"/>
    </row>
    <row r="364" ht="15.75" customHeight="1">
      <c r="I364" s="6"/>
    </row>
    <row r="365" ht="15.75" customHeight="1">
      <c r="I365" s="6"/>
    </row>
    <row r="366" ht="15.75" customHeight="1">
      <c r="I366" s="6"/>
    </row>
    <row r="367" ht="15.75" customHeight="1">
      <c r="I367" s="6"/>
    </row>
    <row r="368" ht="15.75" customHeight="1">
      <c r="I368" s="6"/>
    </row>
    <row r="369" ht="15.75" customHeight="1">
      <c r="I369" s="6"/>
    </row>
    <row r="370" ht="15.75" customHeight="1">
      <c r="I370" s="6"/>
    </row>
    <row r="371" ht="15.75" customHeight="1">
      <c r="I371" s="6"/>
    </row>
    <row r="372" ht="15.75" customHeight="1">
      <c r="I372" s="6"/>
    </row>
    <row r="373" ht="15.75" customHeight="1">
      <c r="I373" s="6"/>
    </row>
    <row r="374" ht="15.75" customHeight="1">
      <c r="I374" s="6"/>
    </row>
    <row r="375" ht="15.75" customHeight="1">
      <c r="I375" s="6"/>
    </row>
    <row r="376" ht="15.75" customHeight="1">
      <c r="I376" s="6"/>
    </row>
    <row r="377" ht="15.75" customHeight="1">
      <c r="I377" s="6"/>
    </row>
    <row r="378" ht="15.75" customHeight="1">
      <c r="I378" s="6"/>
    </row>
    <row r="379" ht="15.75" customHeight="1">
      <c r="I379" s="6"/>
    </row>
    <row r="380" ht="15.75" customHeight="1">
      <c r="I380" s="6"/>
    </row>
    <row r="381" ht="15.75" customHeight="1">
      <c r="I381" s="6"/>
    </row>
    <row r="382" ht="15.75" customHeight="1">
      <c r="I382" s="6"/>
    </row>
    <row r="383" ht="15.75" customHeight="1">
      <c r="I383" s="6"/>
    </row>
    <row r="384" ht="15.75" customHeight="1">
      <c r="I384" s="6"/>
    </row>
    <row r="385" ht="15.75" customHeight="1">
      <c r="I385" s="6"/>
    </row>
    <row r="386" ht="15.75" customHeight="1">
      <c r="I386" s="6"/>
    </row>
    <row r="387" ht="15.75" customHeight="1">
      <c r="I387" s="6"/>
    </row>
    <row r="388" ht="15.75" customHeight="1">
      <c r="I388" s="6"/>
    </row>
    <row r="389" ht="15.75" customHeight="1">
      <c r="I389" s="6"/>
    </row>
    <row r="390" ht="15.75" customHeight="1">
      <c r="I390" s="6"/>
    </row>
    <row r="391" ht="15.75" customHeight="1">
      <c r="I391" s="6"/>
    </row>
    <row r="392" ht="15.75" customHeight="1">
      <c r="I392" s="6"/>
    </row>
    <row r="393" ht="15.75" customHeight="1">
      <c r="I393" s="6"/>
    </row>
    <row r="394" ht="15.75" customHeight="1">
      <c r="I394" s="6"/>
    </row>
    <row r="395" ht="15.75" customHeight="1">
      <c r="I395" s="6"/>
    </row>
    <row r="396" ht="15.75" customHeight="1">
      <c r="I396" s="6"/>
    </row>
    <row r="397" ht="15.75" customHeight="1">
      <c r="I397" s="6"/>
    </row>
    <row r="398" ht="15.75" customHeight="1">
      <c r="I398" s="6"/>
    </row>
    <row r="399" ht="15.75" customHeight="1">
      <c r="I399" s="6"/>
    </row>
    <row r="400" ht="15.75" customHeight="1">
      <c r="I400" s="6"/>
    </row>
    <row r="401" ht="15.75" customHeight="1">
      <c r="I401" s="6"/>
    </row>
    <row r="402" ht="15.75" customHeight="1">
      <c r="I402" s="6"/>
    </row>
    <row r="403" ht="15.75" customHeight="1">
      <c r="I403" s="6"/>
    </row>
    <row r="404" ht="15.75" customHeight="1">
      <c r="I404" s="6"/>
    </row>
    <row r="405" ht="15.75" customHeight="1">
      <c r="I405" s="6"/>
    </row>
    <row r="406" ht="15.75" customHeight="1">
      <c r="I406" s="6"/>
    </row>
    <row r="407" ht="15.75" customHeight="1">
      <c r="I407" s="6"/>
    </row>
    <row r="408" ht="15.75" customHeight="1">
      <c r="I408" s="6"/>
    </row>
    <row r="409" ht="15.75" customHeight="1">
      <c r="I409" s="6"/>
    </row>
    <row r="410" ht="15.75" customHeight="1">
      <c r="I410" s="6"/>
    </row>
    <row r="411" ht="15.75" customHeight="1">
      <c r="I411" s="6"/>
    </row>
    <row r="412" ht="15.75" customHeight="1">
      <c r="I412" s="6"/>
    </row>
    <row r="413" ht="15.75" customHeight="1">
      <c r="I413" s="6"/>
    </row>
    <row r="414" ht="15.75" customHeight="1">
      <c r="I414" s="6"/>
    </row>
    <row r="415" ht="15.75" customHeight="1">
      <c r="I415" s="6"/>
    </row>
    <row r="416" ht="15.75" customHeight="1">
      <c r="I416" s="6"/>
    </row>
    <row r="417" ht="15.75" customHeight="1">
      <c r="I417" s="6"/>
    </row>
    <row r="418" ht="15.75" customHeight="1">
      <c r="I418" s="6"/>
    </row>
    <row r="419" ht="15.75" customHeight="1">
      <c r="I419" s="6"/>
    </row>
    <row r="420" ht="15.75" customHeight="1">
      <c r="I420" s="6"/>
    </row>
    <row r="421" ht="15.75" customHeight="1">
      <c r="I421" s="6"/>
    </row>
    <row r="422" ht="15.75" customHeight="1">
      <c r="I422" s="6"/>
    </row>
    <row r="423" ht="15.75" customHeight="1">
      <c r="I423" s="6"/>
    </row>
    <row r="424" ht="15.75" customHeight="1">
      <c r="I424" s="6"/>
    </row>
    <row r="425" ht="15.75" customHeight="1">
      <c r="I425" s="6"/>
    </row>
    <row r="426" ht="15.75" customHeight="1">
      <c r="I426" s="6"/>
    </row>
    <row r="427" ht="15.75" customHeight="1">
      <c r="I427" s="6"/>
    </row>
    <row r="428" ht="15.75" customHeight="1">
      <c r="I428" s="6"/>
    </row>
    <row r="429" ht="15.75" customHeight="1">
      <c r="I429" s="6"/>
    </row>
    <row r="430" ht="15.75" customHeight="1">
      <c r="I430" s="6"/>
    </row>
    <row r="431" ht="15.75" customHeight="1">
      <c r="I431" s="6"/>
    </row>
    <row r="432" ht="15.75" customHeight="1">
      <c r="I432" s="6"/>
    </row>
    <row r="433" ht="15.75" customHeight="1">
      <c r="I433" s="6"/>
    </row>
    <row r="434" ht="15.75" customHeight="1">
      <c r="I434" s="6"/>
    </row>
    <row r="435" ht="15.75" customHeight="1">
      <c r="I435" s="6"/>
    </row>
    <row r="436" ht="15.75" customHeight="1">
      <c r="I436" s="6"/>
    </row>
    <row r="437" ht="15.75" customHeight="1">
      <c r="I437" s="6"/>
    </row>
    <row r="438" ht="15.75" customHeight="1">
      <c r="I438" s="6"/>
    </row>
    <row r="439" ht="15.75" customHeight="1">
      <c r="I439" s="6"/>
    </row>
    <row r="440" ht="15.75" customHeight="1">
      <c r="I440" s="6"/>
    </row>
    <row r="441" ht="15.75" customHeight="1">
      <c r="I441" s="6"/>
    </row>
    <row r="442" ht="15.75" customHeight="1">
      <c r="I442" s="6"/>
    </row>
    <row r="443" ht="15.75" customHeight="1">
      <c r="I443" s="6"/>
    </row>
    <row r="444" ht="15.75" customHeight="1">
      <c r="I444" s="6"/>
    </row>
    <row r="445" ht="15.75" customHeight="1">
      <c r="I445" s="6"/>
    </row>
    <row r="446" ht="15.75" customHeight="1">
      <c r="I446" s="6"/>
    </row>
    <row r="447" ht="15.75" customHeight="1">
      <c r="I447" s="6"/>
    </row>
    <row r="448" ht="15.75" customHeight="1">
      <c r="I448" s="6"/>
    </row>
    <row r="449" ht="15.75" customHeight="1">
      <c r="I449" s="6"/>
    </row>
    <row r="450" ht="15.75" customHeight="1">
      <c r="I450" s="6"/>
    </row>
    <row r="451" ht="15.75" customHeight="1">
      <c r="I451" s="6"/>
    </row>
    <row r="452" ht="15.75" customHeight="1">
      <c r="I452" s="6"/>
    </row>
    <row r="453" ht="15.75" customHeight="1">
      <c r="I453" s="6"/>
    </row>
    <row r="454" ht="15.75" customHeight="1">
      <c r="I454" s="6"/>
    </row>
    <row r="455" ht="15.75" customHeight="1">
      <c r="I455" s="6"/>
    </row>
    <row r="456" ht="15.75" customHeight="1">
      <c r="I456" s="6"/>
    </row>
    <row r="457" ht="15.75" customHeight="1">
      <c r="I457" s="6"/>
    </row>
    <row r="458" ht="15.75" customHeight="1">
      <c r="I458" s="6"/>
    </row>
    <row r="459" ht="15.75" customHeight="1">
      <c r="I459" s="6"/>
    </row>
    <row r="460" ht="15.75" customHeight="1">
      <c r="I460" s="6"/>
    </row>
    <row r="461" ht="15.75" customHeight="1">
      <c r="I461" s="6"/>
    </row>
    <row r="462" ht="15.75" customHeight="1">
      <c r="I462" s="6"/>
    </row>
    <row r="463" ht="15.75" customHeight="1">
      <c r="I463" s="6"/>
    </row>
    <row r="464" ht="15.75" customHeight="1">
      <c r="I464" s="6"/>
    </row>
    <row r="465" ht="15.75" customHeight="1">
      <c r="I465" s="6"/>
    </row>
    <row r="466" ht="15.75" customHeight="1">
      <c r="I466" s="6"/>
    </row>
    <row r="467" ht="15.75" customHeight="1">
      <c r="I467" s="6"/>
    </row>
    <row r="468" ht="15.75" customHeight="1">
      <c r="I468" s="6"/>
    </row>
    <row r="469" ht="15.75" customHeight="1">
      <c r="I469" s="6"/>
    </row>
    <row r="470" ht="15.75" customHeight="1">
      <c r="I470" s="6"/>
    </row>
    <row r="471" ht="15.75" customHeight="1">
      <c r="I471" s="6"/>
    </row>
    <row r="472" ht="15.75" customHeight="1">
      <c r="I472" s="6"/>
    </row>
    <row r="473" ht="15.75" customHeight="1">
      <c r="I473" s="6"/>
    </row>
    <row r="474" ht="15.75" customHeight="1">
      <c r="I474" s="6"/>
    </row>
    <row r="475" ht="15.75" customHeight="1">
      <c r="I475" s="6"/>
    </row>
    <row r="476" ht="15.75" customHeight="1">
      <c r="I476" s="6"/>
    </row>
    <row r="477" ht="15.75" customHeight="1">
      <c r="I477" s="6"/>
    </row>
    <row r="478" ht="15.75" customHeight="1">
      <c r="I478" s="6"/>
    </row>
    <row r="479" ht="15.75" customHeight="1">
      <c r="I479" s="6"/>
    </row>
    <row r="480" ht="15.75" customHeight="1">
      <c r="I480" s="6"/>
    </row>
    <row r="481" ht="15.75" customHeight="1">
      <c r="I481" s="6"/>
    </row>
    <row r="482" ht="15.75" customHeight="1">
      <c r="I482" s="6"/>
    </row>
    <row r="483" ht="15.75" customHeight="1">
      <c r="I483" s="6"/>
    </row>
    <row r="484" ht="15.75" customHeight="1">
      <c r="I484" s="6"/>
    </row>
    <row r="485" ht="15.75" customHeight="1">
      <c r="I485" s="6"/>
    </row>
    <row r="486" ht="15.75" customHeight="1">
      <c r="I486" s="6"/>
    </row>
    <row r="487" ht="15.75" customHeight="1">
      <c r="I487" s="6"/>
    </row>
    <row r="488" ht="15.75" customHeight="1">
      <c r="I488" s="6"/>
    </row>
    <row r="489" ht="15.75" customHeight="1">
      <c r="I489" s="6"/>
    </row>
    <row r="490" ht="15.75" customHeight="1">
      <c r="I490" s="6"/>
    </row>
    <row r="491" ht="15.75" customHeight="1">
      <c r="I491" s="6"/>
    </row>
    <row r="492" ht="15.75" customHeight="1">
      <c r="I492" s="6"/>
    </row>
    <row r="493" ht="15.75" customHeight="1">
      <c r="I493" s="6"/>
    </row>
    <row r="494" ht="15.75" customHeight="1">
      <c r="I494" s="6"/>
    </row>
    <row r="495" ht="15.75" customHeight="1">
      <c r="I495" s="6"/>
    </row>
    <row r="496" ht="15.75" customHeight="1">
      <c r="I496" s="6"/>
    </row>
    <row r="497" ht="15.75" customHeight="1">
      <c r="I497" s="6"/>
    </row>
    <row r="498" ht="15.75" customHeight="1">
      <c r="I498" s="6"/>
    </row>
    <row r="499" ht="15.75" customHeight="1">
      <c r="I499" s="6"/>
    </row>
    <row r="500" ht="15.75" customHeight="1">
      <c r="I500" s="6"/>
    </row>
    <row r="501" ht="15.75" customHeight="1">
      <c r="I501" s="6"/>
    </row>
    <row r="502" ht="15.75" customHeight="1">
      <c r="I502" s="6"/>
    </row>
    <row r="503" ht="15.75" customHeight="1">
      <c r="I503" s="6"/>
    </row>
    <row r="504" ht="15.75" customHeight="1">
      <c r="I504" s="6"/>
    </row>
    <row r="505" ht="15.75" customHeight="1">
      <c r="I505" s="6"/>
    </row>
    <row r="506" ht="15.75" customHeight="1">
      <c r="I506" s="6"/>
    </row>
    <row r="507" ht="15.75" customHeight="1">
      <c r="I507" s="6"/>
    </row>
    <row r="508" ht="15.75" customHeight="1">
      <c r="I508" s="6"/>
    </row>
    <row r="509" ht="15.75" customHeight="1">
      <c r="I509" s="6"/>
    </row>
    <row r="510" ht="15.75" customHeight="1">
      <c r="I510" s="6"/>
    </row>
    <row r="511" ht="15.75" customHeight="1">
      <c r="I511" s="6"/>
    </row>
    <row r="512" ht="15.75" customHeight="1">
      <c r="I512" s="6"/>
    </row>
    <row r="513" ht="15.75" customHeight="1">
      <c r="I513" s="6"/>
    </row>
    <row r="514" ht="15.75" customHeight="1">
      <c r="I514" s="6"/>
    </row>
    <row r="515" ht="15.75" customHeight="1">
      <c r="I515" s="6"/>
    </row>
    <row r="516" ht="15.75" customHeight="1">
      <c r="I516" s="6"/>
    </row>
    <row r="517" ht="15.75" customHeight="1">
      <c r="I517" s="6"/>
    </row>
    <row r="518" ht="15.75" customHeight="1">
      <c r="I518" s="6"/>
    </row>
    <row r="519" ht="15.75" customHeight="1">
      <c r="I519" s="6"/>
    </row>
    <row r="520" ht="15.75" customHeight="1">
      <c r="I520" s="6"/>
    </row>
    <row r="521" ht="15.75" customHeight="1">
      <c r="I521" s="6"/>
    </row>
    <row r="522" ht="15.75" customHeight="1">
      <c r="I522" s="6"/>
    </row>
    <row r="523" ht="15.75" customHeight="1">
      <c r="I523" s="6"/>
    </row>
    <row r="524" ht="15.75" customHeight="1">
      <c r="I524" s="6"/>
    </row>
    <row r="525" ht="15.75" customHeight="1">
      <c r="I525" s="6"/>
    </row>
    <row r="526" ht="15.75" customHeight="1">
      <c r="I526" s="6"/>
    </row>
    <row r="527" ht="15.75" customHeight="1">
      <c r="I527" s="6"/>
    </row>
    <row r="528" ht="15.75" customHeight="1">
      <c r="I528" s="6"/>
    </row>
    <row r="529" ht="15.75" customHeight="1">
      <c r="I529" s="6"/>
    </row>
    <row r="530" ht="15.75" customHeight="1">
      <c r="I530" s="6"/>
    </row>
    <row r="531" ht="15.75" customHeight="1">
      <c r="I531" s="6"/>
    </row>
    <row r="532" ht="15.75" customHeight="1">
      <c r="I532" s="6"/>
    </row>
    <row r="533" ht="15.75" customHeight="1">
      <c r="I533" s="6"/>
    </row>
    <row r="534" ht="15.75" customHeight="1">
      <c r="I534" s="6"/>
    </row>
    <row r="535" ht="15.75" customHeight="1">
      <c r="I535" s="6"/>
    </row>
    <row r="536" ht="15.75" customHeight="1">
      <c r="I536" s="6"/>
    </row>
    <row r="537" ht="15.75" customHeight="1">
      <c r="I537" s="6"/>
    </row>
    <row r="538" ht="15.75" customHeight="1">
      <c r="I538" s="6"/>
    </row>
    <row r="539" ht="15.75" customHeight="1">
      <c r="I539" s="6"/>
    </row>
    <row r="540" ht="15.75" customHeight="1">
      <c r="I540" s="6"/>
    </row>
    <row r="541" ht="15.75" customHeight="1">
      <c r="I541" s="6"/>
    </row>
    <row r="542" ht="15.75" customHeight="1">
      <c r="I542" s="6"/>
    </row>
    <row r="543" ht="15.75" customHeight="1">
      <c r="I543" s="6"/>
    </row>
    <row r="544" ht="15.75" customHeight="1">
      <c r="I544" s="6"/>
    </row>
    <row r="545" ht="15.75" customHeight="1">
      <c r="I545" s="6"/>
    </row>
    <row r="546" ht="15.75" customHeight="1">
      <c r="I546" s="6"/>
    </row>
    <row r="547" ht="15.75" customHeight="1">
      <c r="I547" s="6"/>
    </row>
    <row r="548" ht="15.75" customHeight="1">
      <c r="I548" s="6"/>
    </row>
    <row r="549" ht="15.75" customHeight="1">
      <c r="I549" s="6"/>
    </row>
    <row r="550" ht="15.75" customHeight="1">
      <c r="I550" s="6"/>
    </row>
    <row r="551" ht="15.75" customHeight="1">
      <c r="I551" s="6"/>
    </row>
    <row r="552" ht="15.75" customHeight="1">
      <c r="I552" s="6"/>
    </row>
    <row r="553" ht="15.75" customHeight="1">
      <c r="I553" s="6"/>
    </row>
    <row r="554" ht="15.75" customHeight="1">
      <c r="I554" s="6"/>
    </row>
    <row r="555" ht="15.75" customHeight="1">
      <c r="I555" s="6"/>
    </row>
    <row r="556" ht="15.75" customHeight="1">
      <c r="I556" s="6"/>
    </row>
    <row r="557" ht="15.75" customHeight="1">
      <c r="I557" s="6"/>
    </row>
    <row r="558" ht="15.75" customHeight="1">
      <c r="I558" s="6"/>
    </row>
    <row r="559" ht="15.75" customHeight="1">
      <c r="I559" s="6"/>
    </row>
    <row r="560" ht="15.75" customHeight="1">
      <c r="I560" s="6"/>
    </row>
    <row r="561" ht="15.75" customHeight="1">
      <c r="I561" s="6"/>
    </row>
    <row r="562" ht="15.75" customHeight="1">
      <c r="I562" s="6"/>
    </row>
    <row r="563" ht="15.75" customHeight="1">
      <c r="I563" s="6"/>
    </row>
    <row r="564" ht="15.75" customHeight="1">
      <c r="I564" s="6"/>
    </row>
    <row r="565" ht="15.75" customHeight="1">
      <c r="I565" s="6"/>
    </row>
    <row r="566" ht="15.75" customHeight="1">
      <c r="I566" s="6"/>
    </row>
    <row r="567" ht="15.75" customHeight="1">
      <c r="I567" s="6"/>
    </row>
    <row r="568" ht="15.75" customHeight="1">
      <c r="I568" s="6"/>
    </row>
    <row r="569" ht="15.75" customHeight="1">
      <c r="I569" s="6"/>
    </row>
    <row r="570" ht="15.75" customHeight="1">
      <c r="I570" s="6"/>
    </row>
    <row r="571" ht="15.75" customHeight="1">
      <c r="I571" s="6"/>
    </row>
    <row r="572" ht="15.75" customHeight="1">
      <c r="I572" s="6"/>
    </row>
    <row r="573" ht="15.75" customHeight="1">
      <c r="I573" s="6"/>
    </row>
    <row r="574" ht="15.75" customHeight="1">
      <c r="I574" s="6"/>
    </row>
    <row r="575" ht="15.75" customHeight="1">
      <c r="I575" s="6"/>
    </row>
    <row r="576" ht="15.75" customHeight="1">
      <c r="I576" s="6"/>
    </row>
    <row r="577" ht="15.75" customHeight="1">
      <c r="I577" s="6"/>
    </row>
    <row r="578" ht="15.75" customHeight="1">
      <c r="I578" s="6"/>
    </row>
    <row r="579" ht="15.75" customHeight="1">
      <c r="I579" s="6"/>
    </row>
    <row r="580" ht="15.75" customHeight="1">
      <c r="I580" s="6"/>
    </row>
    <row r="581" ht="15.75" customHeight="1">
      <c r="I581" s="6"/>
    </row>
    <row r="582" ht="15.75" customHeight="1">
      <c r="I582" s="6"/>
    </row>
    <row r="583" ht="15.75" customHeight="1">
      <c r="I583" s="6"/>
    </row>
    <row r="584" ht="15.75" customHeight="1">
      <c r="I584" s="6"/>
    </row>
    <row r="585" ht="15.75" customHeight="1">
      <c r="I585" s="6"/>
    </row>
    <row r="586" ht="15.75" customHeight="1">
      <c r="I586" s="6"/>
    </row>
    <row r="587" ht="15.75" customHeight="1">
      <c r="I587" s="6"/>
    </row>
    <row r="588" ht="15.75" customHeight="1">
      <c r="I588" s="6"/>
    </row>
    <row r="589" ht="15.75" customHeight="1">
      <c r="I589" s="6"/>
    </row>
    <row r="590" ht="15.75" customHeight="1">
      <c r="I590" s="6"/>
    </row>
    <row r="591" ht="15.75" customHeight="1">
      <c r="I591" s="6"/>
    </row>
    <row r="592" ht="15.75" customHeight="1">
      <c r="I592" s="6"/>
    </row>
    <row r="593" ht="15.75" customHeight="1">
      <c r="I593" s="6"/>
    </row>
    <row r="594" ht="15.75" customHeight="1">
      <c r="I594" s="6"/>
    </row>
    <row r="595" ht="15.75" customHeight="1">
      <c r="I595" s="6"/>
    </row>
    <row r="596" ht="15.75" customHeight="1">
      <c r="I596" s="6"/>
    </row>
    <row r="597" ht="15.75" customHeight="1">
      <c r="I597" s="6"/>
    </row>
    <row r="598" ht="15.75" customHeight="1">
      <c r="I598" s="6"/>
    </row>
    <row r="599" ht="15.75" customHeight="1">
      <c r="I599" s="6"/>
    </row>
    <row r="600" ht="15.75" customHeight="1">
      <c r="I600" s="6"/>
    </row>
    <row r="601" ht="15.75" customHeight="1">
      <c r="I601" s="6"/>
    </row>
    <row r="602" ht="15.75" customHeight="1">
      <c r="I602" s="6"/>
    </row>
    <row r="603" ht="15.75" customHeight="1">
      <c r="I603" s="6"/>
    </row>
    <row r="604" ht="15.75" customHeight="1">
      <c r="I604" s="6"/>
    </row>
    <row r="605" ht="15.75" customHeight="1">
      <c r="I605" s="6"/>
    </row>
    <row r="606" ht="15.75" customHeight="1">
      <c r="I606" s="6"/>
    </row>
    <row r="607" ht="15.75" customHeight="1">
      <c r="I607" s="6"/>
    </row>
    <row r="608" ht="15.75" customHeight="1">
      <c r="I608" s="6"/>
    </row>
    <row r="609" ht="15.75" customHeight="1">
      <c r="I609" s="6"/>
    </row>
    <row r="610" ht="15.75" customHeight="1">
      <c r="I610" s="6"/>
    </row>
    <row r="611" ht="15.75" customHeight="1">
      <c r="I611" s="6"/>
    </row>
    <row r="612" ht="15.75" customHeight="1">
      <c r="I612" s="6"/>
    </row>
    <row r="613" ht="15.75" customHeight="1">
      <c r="I613" s="6"/>
    </row>
    <row r="614" ht="15.75" customHeight="1">
      <c r="I614" s="6"/>
    </row>
    <row r="615" ht="15.75" customHeight="1">
      <c r="I615" s="6"/>
    </row>
    <row r="616" ht="15.75" customHeight="1">
      <c r="I616" s="6"/>
    </row>
    <row r="617" ht="15.75" customHeight="1">
      <c r="I617" s="6"/>
    </row>
    <row r="618" ht="15.75" customHeight="1">
      <c r="I618" s="6"/>
    </row>
    <row r="619" ht="15.75" customHeight="1">
      <c r="I619" s="6"/>
    </row>
    <row r="620" ht="15.75" customHeight="1">
      <c r="I620" s="6"/>
    </row>
    <row r="621" ht="15.75" customHeight="1">
      <c r="I621" s="6"/>
    </row>
    <row r="622" ht="15.75" customHeight="1">
      <c r="I622" s="6"/>
    </row>
    <row r="623" ht="15.75" customHeight="1">
      <c r="I623" s="6"/>
    </row>
    <row r="624" ht="15.75" customHeight="1">
      <c r="I624" s="6"/>
    </row>
    <row r="625" ht="15.75" customHeight="1">
      <c r="I625" s="6"/>
    </row>
    <row r="626" ht="15.75" customHeight="1">
      <c r="I626" s="6"/>
    </row>
    <row r="627" ht="15.75" customHeight="1">
      <c r="I627" s="6"/>
    </row>
    <row r="628" ht="15.75" customHeight="1">
      <c r="I628" s="6"/>
    </row>
    <row r="629" ht="15.75" customHeight="1">
      <c r="I629" s="6"/>
    </row>
    <row r="630" ht="15.75" customHeight="1">
      <c r="I630" s="6"/>
    </row>
    <row r="631" ht="15.75" customHeight="1">
      <c r="I631" s="6"/>
    </row>
    <row r="632" ht="15.75" customHeight="1">
      <c r="I632" s="6"/>
    </row>
    <row r="633" ht="15.75" customHeight="1">
      <c r="I633" s="6"/>
    </row>
    <row r="634" ht="15.75" customHeight="1">
      <c r="I634" s="6"/>
    </row>
    <row r="635" ht="15.75" customHeight="1">
      <c r="I635" s="6"/>
    </row>
    <row r="636" ht="15.75" customHeight="1">
      <c r="I636" s="6"/>
    </row>
    <row r="637" ht="15.75" customHeight="1">
      <c r="I637" s="6"/>
    </row>
    <row r="638" ht="15.75" customHeight="1">
      <c r="I638" s="6"/>
    </row>
    <row r="639" ht="15.75" customHeight="1">
      <c r="I639" s="6"/>
    </row>
    <row r="640" ht="15.75" customHeight="1">
      <c r="I640" s="6"/>
    </row>
    <row r="641" ht="15.75" customHeight="1">
      <c r="I641" s="6"/>
    </row>
    <row r="642" ht="15.75" customHeight="1">
      <c r="I642" s="6"/>
    </row>
    <row r="643" ht="15.75" customHeight="1">
      <c r="I643" s="6"/>
    </row>
    <row r="644" ht="15.75" customHeight="1">
      <c r="I644" s="6"/>
    </row>
    <row r="645" ht="15.75" customHeight="1">
      <c r="I645" s="6"/>
    </row>
    <row r="646" ht="15.75" customHeight="1">
      <c r="I646" s="6"/>
    </row>
    <row r="647" ht="15.75" customHeight="1">
      <c r="I647" s="6"/>
    </row>
    <row r="648" ht="15.75" customHeight="1">
      <c r="I648" s="6"/>
    </row>
    <row r="649" ht="15.75" customHeight="1">
      <c r="I649" s="6"/>
    </row>
    <row r="650" ht="15.75" customHeight="1">
      <c r="I650" s="6"/>
    </row>
    <row r="651" ht="15.75" customHeight="1">
      <c r="I651" s="6"/>
    </row>
    <row r="652" ht="15.75" customHeight="1">
      <c r="I652" s="6"/>
    </row>
    <row r="653" ht="15.75" customHeight="1">
      <c r="I653" s="6"/>
    </row>
    <row r="654" ht="15.75" customHeight="1">
      <c r="I654" s="6"/>
    </row>
    <row r="655" ht="15.75" customHeight="1">
      <c r="I655" s="6"/>
    </row>
    <row r="656" ht="15.75" customHeight="1">
      <c r="I656" s="6"/>
    </row>
    <row r="657" ht="15.75" customHeight="1">
      <c r="I657" s="6"/>
    </row>
    <row r="658" ht="15.75" customHeight="1">
      <c r="I658" s="6"/>
    </row>
    <row r="659" ht="15.75" customHeight="1">
      <c r="I659" s="6"/>
    </row>
    <row r="660" ht="15.75" customHeight="1">
      <c r="I660" s="6"/>
    </row>
    <row r="661" ht="15.75" customHeight="1">
      <c r="I661" s="6"/>
    </row>
    <row r="662" ht="15.75" customHeight="1">
      <c r="I662" s="6"/>
    </row>
    <row r="663" ht="15.75" customHeight="1">
      <c r="I663" s="6"/>
    </row>
    <row r="664" ht="15.75" customHeight="1">
      <c r="I664" s="6"/>
    </row>
    <row r="665" ht="15.75" customHeight="1">
      <c r="I665" s="6"/>
    </row>
    <row r="666" ht="15.75" customHeight="1">
      <c r="I666" s="6"/>
    </row>
    <row r="667" ht="15.75" customHeight="1">
      <c r="I667" s="6"/>
    </row>
    <row r="668" ht="15.75" customHeight="1">
      <c r="I668" s="6"/>
    </row>
    <row r="669" ht="15.75" customHeight="1">
      <c r="I669" s="6"/>
    </row>
    <row r="670" ht="15.75" customHeight="1">
      <c r="I670" s="6"/>
    </row>
    <row r="671" ht="15.75" customHeight="1">
      <c r="I671" s="6"/>
    </row>
    <row r="672" ht="15.75" customHeight="1">
      <c r="I672" s="6"/>
    </row>
    <row r="673" ht="15.75" customHeight="1">
      <c r="I673" s="6"/>
    </row>
    <row r="674" ht="15.75" customHeight="1">
      <c r="I674" s="6"/>
    </row>
    <row r="675" ht="15.75" customHeight="1">
      <c r="I675" s="6"/>
    </row>
    <row r="676" ht="15.75" customHeight="1">
      <c r="I676" s="6"/>
    </row>
    <row r="677" ht="15.75" customHeight="1">
      <c r="I677" s="6"/>
    </row>
    <row r="678" ht="15.75" customHeight="1">
      <c r="I678" s="6"/>
    </row>
    <row r="679" ht="15.75" customHeight="1">
      <c r="I679" s="6"/>
    </row>
    <row r="680" ht="15.75" customHeight="1">
      <c r="I680" s="6"/>
    </row>
    <row r="681" ht="15.75" customHeight="1">
      <c r="I681" s="6"/>
    </row>
    <row r="682" ht="15.75" customHeight="1">
      <c r="I682" s="6"/>
    </row>
    <row r="683" ht="15.75" customHeight="1">
      <c r="I683" s="6"/>
    </row>
    <row r="684" ht="15.75" customHeight="1">
      <c r="I684" s="6"/>
    </row>
    <row r="685" ht="15.75" customHeight="1">
      <c r="I685" s="6"/>
    </row>
    <row r="686" ht="15.75" customHeight="1">
      <c r="I686" s="6"/>
    </row>
    <row r="687" ht="15.75" customHeight="1">
      <c r="I687" s="6"/>
    </row>
    <row r="688" ht="15.75" customHeight="1">
      <c r="I688" s="6"/>
    </row>
    <row r="689" ht="15.75" customHeight="1">
      <c r="I689" s="6"/>
    </row>
    <row r="690" ht="15.75" customHeight="1">
      <c r="I690" s="6"/>
    </row>
    <row r="691" ht="15.75" customHeight="1">
      <c r="I691" s="6"/>
    </row>
    <row r="692" ht="15.75" customHeight="1">
      <c r="I692" s="6"/>
    </row>
    <row r="693" ht="15.75" customHeight="1">
      <c r="I693" s="6"/>
    </row>
    <row r="694" ht="15.75" customHeight="1">
      <c r="I694" s="6"/>
    </row>
    <row r="695" ht="15.75" customHeight="1">
      <c r="I695" s="6"/>
    </row>
    <row r="696" ht="15.75" customHeight="1">
      <c r="I696" s="6"/>
    </row>
    <row r="697" ht="15.75" customHeight="1">
      <c r="I697" s="6"/>
    </row>
    <row r="698" ht="15.75" customHeight="1">
      <c r="I698" s="6"/>
    </row>
    <row r="699" ht="15.75" customHeight="1">
      <c r="I699" s="6"/>
    </row>
    <row r="700" ht="15.75" customHeight="1">
      <c r="I700" s="6"/>
    </row>
    <row r="701" ht="15.75" customHeight="1">
      <c r="I701" s="6"/>
    </row>
    <row r="702" ht="15.75" customHeight="1">
      <c r="I702" s="6"/>
    </row>
    <row r="703" ht="15.75" customHeight="1">
      <c r="I703" s="6"/>
    </row>
    <row r="704" ht="15.75" customHeight="1">
      <c r="I704" s="6"/>
    </row>
    <row r="705" ht="15.75" customHeight="1">
      <c r="I705" s="6"/>
    </row>
    <row r="706" ht="15.75" customHeight="1">
      <c r="I706" s="6"/>
    </row>
    <row r="707" ht="15.75" customHeight="1">
      <c r="I707" s="6"/>
    </row>
    <row r="708" ht="15.75" customHeight="1">
      <c r="I708" s="6"/>
    </row>
    <row r="709" ht="15.75" customHeight="1">
      <c r="I709" s="6"/>
    </row>
    <row r="710" ht="15.75" customHeight="1">
      <c r="I710" s="6"/>
    </row>
    <row r="711" ht="15.75" customHeight="1">
      <c r="I711" s="6"/>
    </row>
    <row r="712" ht="15.75" customHeight="1">
      <c r="I712" s="6"/>
    </row>
    <row r="713" ht="15.75" customHeight="1">
      <c r="I713" s="6"/>
    </row>
    <row r="714" ht="15.75" customHeight="1">
      <c r="I714" s="6"/>
    </row>
    <row r="715" ht="15.75" customHeight="1">
      <c r="I715" s="6"/>
    </row>
    <row r="716" ht="15.75" customHeight="1">
      <c r="I716" s="6"/>
    </row>
    <row r="717" ht="15.75" customHeight="1">
      <c r="I717" s="6"/>
    </row>
    <row r="718" ht="15.75" customHeight="1">
      <c r="I718" s="6"/>
    </row>
    <row r="719" ht="15.75" customHeight="1">
      <c r="I719" s="6"/>
    </row>
    <row r="720" ht="15.75" customHeight="1">
      <c r="I720" s="6"/>
    </row>
    <row r="721" ht="15.75" customHeight="1">
      <c r="I721" s="6"/>
    </row>
    <row r="722" ht="15.75" customHeight="1">
      <c r="I722" s="6"/>
    </row>
    <row r="723" ht="15.75" customHeight="1">
      <c r="I723" s="6"/>
    </row>
    <row r="724" ht="15.75" customHeight="1">
      <c r="I724" s="6"/>
    </row>
    <row r="725" ht="15.75" customHeight="1">
      <c r="I725" s="6"/>
    </row>
    <row r="726" ht="15.75" customHeight="1">
      <c r="I726" s="6"/>
    </row>
    <row r="727" ht="15.75" customHeight="1">
      <c r="I727" s="6"/>
    </row>
    <row r="728" ht="15.75" customHeight="1">
      <c r="I728" s="6"/>
    </row>
    <row r="729" ht="15.75" customHeight="1">
      <c r="I729" s="6"/>
    </row>
    <row r="730" ht="15.75" customHeight="1">
      <c r="I730" s="6"/>
    </row>
    <row r="731" ht="15.75" customHeight="1">
      <c r="I731" s="6"/>
    </row>
    <row r="732" ht="15.75" customHeight="1">
      <c r="I732" s="6"/>
    </row>
    <row r="733" ht="15.75" customHeight="1">
      <c r="I733" s="6"/>
    </row>
    <row r="734" ht="15.75" customHeight="1">
      <c r="I734" s="6"/>
    </row>
    <row r="735" ht="15.75" customHeight="1">
      <c r="I735" s="6"/>
    </row>
    <row r="736" ht="15.75" customHeight="1">
      <c r="I736" s="6"/>
    </row>
    <row r="737" ht="15.75" customHeight="1">
      <c r="I737" s="6"/>
    </row>
    <row r="738" ht="15.75" customHeight="1">
      <c r="I738" s="6"/>
    </row>
    <row r="739" ht="15.75" customHeight="1">
      <c r="I739" s="6"/>
    </row>
    <row r="740" ht="15.75" customHeight="1">
      <c r="I740" s="6"/>
    </row>
    <row r="741" ht="15.75" customHeight="1">
      <c r="I741" s="6"/>
    </row>
    <row r="742" ht="15.75" customHeight="1">
      <c r="I742" s="6"/>
    </row>
    <row r="743" ht="15.75" customHeight="1">
      <c r="I743" s="6"/>
    </row>
    <row r="744" ht="15.75" customHeight="1">
      <c r="I744" s="6"/>
    </row>
    <row r="745" ht="15.75" customHeight="1">
      <c r="I745" s="6"/>
    </row>
    <row r="746" ht="15.75" customHeight="1">
      <c r="I746" s="6"/>
    </row>
    <row r="747" ht="15.75" customHeight="1">
      <c r="I747" s="6"/>
    </row>
    <row r="748" ht="15.75" customHeight="1">
      <c r="I748" s="6"/>
    </row>
    <row r="749" ht="15.75" customHeight="1">
      <c r="I749" s="6"/>
    </row>
    <row r="750" ht="15.75" customHeight="1">
      <c r="I750" s="6"/>
    </row>
    <row r="751" ht="15.75" customHeight="1">
      <c r="I751" s="6"/>
    </row>
    <row r="752" ht="15.75" customHeight="1">
      <c r="I752" s="6"/>
    </row>
    <row r="753" ht="15.75" customHeight="1">
      <c r="I753" s="6"/>
    </row>
    <row r="754" ht="15.75" customHeight="1">
      <c r="I754" s="6"/>
    </row>
    <row r="755" ht="15.75" customHeight="1">
      <c r="I755" s="6"/>
    </row>
    <row r="756" ht="15.75" customHeight="1">
      <c r="I756" s="6"/>
    </row>
    <row r="757" ht="15.75" customHeight="1">
      <c r="I757" s="6"/>
    </row>
    <row r="758" ht="15.75" customHeight="1">
      <c r="I758" s="6"/>
    </row>
    <row r="759" ht="15.75" customHeight="1">
      <c r="I759" s="6"/>
    </row>
    <row r="760" ht="15.75" customHeight="1">
      <c r="I760" s="6"/>
    </row>
    <row r="761" ht="15.75" customHeight="1">
      <c r="I761" s="6"/>
    </row>
    <row r="762" ht="15.75" customHeight="1">
      <c r="I762" s="6"/>
    </row>
    <row r="763" ht="15.75" customHeight="1">
      <c r="I763" s="6"/>
    </row>
    <row r="764" ht="15.75" customHeight="1">
      <c r="I764" s="6"/>
    </row>
    <row r="765" ht="15.75" customHeight="1">
      <c r="I765" s="6"/>
    </row>
    <row r="766" ht="15.75" customHeight="1">
      <c r="I766" s="6"/>
    </row>
    <row r="767" ht="15.75" customHeight="1">
      <c r="I767" s="6"/>
    </row>
    <row r="768" ht="15.75" customHeight="1">
      <c r="I768" s="6"/>
    </row>
    <row r="769" ht="15.75" customHeight="1">
      <c r="I769" s="6"/>
    </row>
    <row r="770" ht="15.75" customHeight="1">
      <c r="I770" s="6"/>
    </row>
    <row r="771" ht="15.75" customHeight="1">
      <c r="I771" s="6"/>
    </row>
    <row r="772" ht="15.75" customHeight="1">
      <c r="I772" s="6"/>
    </row>
    <row r="773" ht="15.75" customHeight="1">
      <c r="I773" s="6"/>
    </row>
    <row r="774" ht="15.75" customHeight="1">
      <c r="I774" s="6"/>
    </row>
    <row r="775" ht="15.75" customHeight="1">
      <c r="I775" s="6"/>
    </row>
    <row r="776" ht="15.75" customHeight="1">
      <c r="I776" s="6"/>
    </row>
    <row r="777" ht="15.75" customHeight="1">
      <c r="I777" s="6"/>
    </row>
    <row r="778" ht="15.75" customHeight="1">
      <c r="I778" s="6"/>
    </row>
    <row r="779" ht="15.75" customHeight="1">
      <c r="I779" s="6"/>
    </row>
    <row r="780" ht="15.75" customHeight="1">
      <c r="I780" s="6"/>
    </row>
    <row r="781" ht="15.75" customHeight="1">
      <c r="I781" s="6"/>
    </row>
    <row r="782" ht="15.75" customHeight="1">
      <c r="I782" s="6"/>
    </row>
    <row r="783" ht="15.75" customHeight="1">
      <c r="I783" s="6"/>
    </row>
    <row r="784" ht="15.75" customHeight="1">
      <c r="I784" s="6"/>
    </row>
    <row r="785" ht="15.75" customHeight="1">
      <c r="I785" s="6"/>
    </row>
    <row r="786" ht="15.75" customHeight="1">
      <c r="I786" s="6"/>
    </row>
    <row r="787" ht="15.75" customHeight="1">
      <c r="I787" s="6"/>
    </row>
    <row r="788" ht="15.75" customHeight="1">
      <c r="I788" s="6"/>
    </row>
    <row r="789" ht="15.75" customHeight="1">
      <c r="I789" s="6"/>
    </row>
    <row r="790" ht="15.75" customHeight="1">
      <c r="I790" s="6"/>
    </row>
    <row r="791" ht="15.75" customHeight="1">
      <c r="I791" s="6"/>
    </row>
    <row r="792" ht="15.75" customHeight="1">
      <c r="I792" s="6"/>
    </row>
    <row r="793" ht="15.75" customHeight="1">
      <c r="I793" s="6"/>
    </row>
    <row r="794" ht="15.75" customHeight="1">
      <c r="I794" s="6"/>
    </row>
    <row r="795" ht="15.75" customHeight="1">
      <c r="I795" s="6"/>
    </row>
    <row r="796" ht="15.75" customHeight="1">
      <c r="I796" s="6"/>
    </row>
    <row r="797" ht="15.75" customHeight="1">
      <c r="I797" s="6"/>
    </row>
    <row r="798" ht="15.75" customHeight="1">
      <c r="I798" s="6"/>
    </row>
    <row r="799" ht="15.75" customHeight="1">
      <c r="I799" s="6"/>
    </row>
    <row r="800" ht="15.75" customHeight="1">
      <c r="I800" s="6"/>
    </row>
    <row r="801" ht="15.75" customHeight="1">
      <c r="I801" s="6"/>
    </row>
    <row r="802" ht="15.75" customHeight="1">
      <c r="I802" s="6"/>
    </row>
    <row r="803" ht="15.75" customHeight="1">
      <c r="I803" s="6"/>
    </row>
    <row r="804" ht="15.75" customHeight="1">
      <c r="I804" s="6"/>
    </row>
    <row r="805" ht="15.75" customHeight="1">
      <c r="I805" s="6"/>
    </row>
    <row r="806" ht="15.75" customHeight="1">
      <c r="I806" s="6"/>
    </row>
    <row r="807" ht="15.75" customHeight="1">
      <c r="I807" s="6"/>
    </row>
    <row r="808" ht="15.75" customHeight="1">
      <c r="I808" s="6"/>
    </row>
    <row r="809" ht="15.75" customHeight="1">
      <c r="I809" s="6"/>
    </row>
    <row r="810" ht="15.75" customHeight="1">
      <c r="I810" s="6"/>
    </row>
    <row r="811" ht="15.75" customHeight="1">
      <c r="I811" s="6"/>
    </row>
    <row r="812" ht="15.75" customHeight="1">
      <c r="I812" s="6"/>
    </row>
    <row r="813" ht="15.75" customHeight="1">
      <c r="I813" s="6"/>
    </row>
    <row r="814" ht="15.75" customHeight="1">
      <c r="I814" s="6"/>
    </row>
    <row r="815" ht="15.75" customHeight="1">
      <c r="I815" s="6"/>
    </row>
    <row r="816" ht="15.75" customHeight="1">
      <c r="I816" s="6"/>
    </row>
    <row r="817" ht="15.75" customHeight="1">
      <c r="I817" s="6"/>
    </row>
    <row r="818" ht="15.75" customHeight="1">
      <c r="I818" s="6"/>
    </row>
    <row r="819" ht="15.75" customHeight="1">
      <c r="I819" s="6"/>
    </row>
    <row r="820" ht="15.75" customHeight="1">
      <c r="I820" s="6"/>
    </row>
    <row r="821" ht="15.75" customHeight="1">
      <c r="I821" s="6"/>
    </row>
    <row r="822" ht="15.75" customHeight="1">
      <c r="I822" s="6"/>
    </row>
    <row r="823" ht="15.75" customHeight="1">
      <c r="I823" s="6"/>
    </row>
    <row r="824" ht="15.75" customHeight="1">
      <c r="I824" s="6"/>
    </row>
    <row r="825" ht="15.75" customHeight="1">
      <c r="I825" s="6"/>
    </row>
    <row r="826" ht="15.75" customHeight="1">
      <c r="I826" s="6"/>
    </row>
    <row r="827" ht="15.75" customHeight="1">
      <c r="I827" s="6"/>
    </row>
    <row r="828" ht="15.75" customHeight="1">
      <c r="I828" s="6"/>
    </row>
    <row r="829" ht="15.75" customHeight="1">
      <c r="I829" s="6"/>
    </row>
    <row r="830" ht="15.75" customHeight="1">
      <c r="I830" s="6"/>
    </row>
    <row r="831" ht="15.75" customHeight="1">
      <c r="I831" s="6"/>
    </row>
    <row r="832" ht="15.75" customHeight="1">
      <c r="I832" s="6"/>
    </row>
    <row r="833" ht="15.75" customHeight="1">
      <c r="I833" s="6"/>
    </row>
    <row r="834" ht="15.75" customHeight="1">
      <c r="I834" s="6"/>
    </row>
    <row r="835" ht="15.75" customHeight="1">
      <c r="I835" s="6"/>
    </row>
    <row r="836" ht="15.75" customHeight="1">
      <c r="I836" s="6"/>
    </row>
    <row r="837" ht="15.75" customHeight="1">
      <c r="I837" s="6"/>
    </row>
    <row r="838" ht="15.75" customHeight="1">
      <c r="I838" s="6"/>
    </row>
    <row r="839" ht="15.75" customHeight="1">
      <c r="I839" s="6"/>
    </row>
    <row r="840" ht="15.75" customHeight="1">
      <c r="I840" s="6"/>
    </row>
    <row r="841" ht="15.75" customHeight="1">
      <c r="I841" s="6"/>
    </row>
    <row r="842" ht="15.75" customHeight="1">
      <c r="I842" s="6"/>
    </row>
    <row r="843" ht="15.75" customHeight="1">
      <c r="I843" s="6"/>
    </row>
    <row r="844" ht="15.75" customHeight="1">
      <c r="I844" s="6"/>
    </row>
    <row r="845" ht="15.75" customHeight="1">
      <c r="I845" s="6"/>
    </row>
    <row r="846" ht="15.75" customHeight="1">
      <c r="I846" s="6"/>
    </row>
    <row r="847" ht="15.75" customHeight="1">
      <c r="I847" s="6"/>
    </row>
    <row r="848" ht="15.75" customHeight="1">
      <c r="I848" s="6"/>
    </row>
    <row r="849" ht="15.75" customHeight="1">
      <c r="I849" s="6"/>
    </row>
    <row r="850" ht="15.75" customHeight="1">
      <c r="I850" s="6"/>
    </row>
    <row r="851" ht="15.75" customHeight="1">
      <c r="I851" s="6"/>
    </row>
    <row r="852" ht="15.75" customHeight="1">
      <c r="I852" s="6"/>
    </row>
    <row r="853" ht="15.75" customHeight="1">
      <c r="I853" s="6"/>
    </row>
    <row r="854" ht="15.75" customHeight="1">
      <c r="I854" s="6"/>
    </row>
    <row r="855" ht="15.75" customHeight="1">
      <c r="I855" s="6"/>
    </row>
    <row r="856" ht="15.75" customHeight="1">
      <c r="I856" s="6"/>
    </row>
    <row r="857" ht="15.75" customHeight="1">
      <c r="I857" s="6"/>
    </row>
    <row r="858" ht="15.75" customHeight="1">
      <c r="I858" s="6"/>
    </row>
    <row r="859" ht="15.75" customHeight="1">
      <c r="I859" s="6"/>
    </row>
    <row r="860" ht="15.75" customHeight="1">
      <c r="I860" s="6"/>
    </row>
    <row r="861" ht="15.75" customHeight="1">
      <c r="I861" s="6"/>
    </row>
    <row r="862" ht="15.75" customHeight="1">
      <c r="I862" s="6"/>
    </row>
    <row r="863" ht="15.75" customHeight="1">
      <c r="I863" s="6"/>
    </row>
    <row r="864" ht="15.75" customHeight="1">
      <c r="I864" s="6"/>
    </row>
    <row r="865" ht="15.75" customHeight="1">
      <c r="I865" s="6"/>
    </row>
    <row r="866" ht="15.75" customHeight="1">
      <c r="I866" s="6"/>
    </row>
    <row r="867" ht="15.75" customHeight="1">
      <c r="I867" s="6"/>
    </row>
    <row r="868" ht="15.75" customHeight="1">
      <c r="I868" s="6"/>
    </row>
    <row r="869" ht="15.75" customHeight="1">
      <c r="I869" s="6"/>
    </row>
    <row r="870" ht="15.75" customHeight="1">
      <c r="I870" s="6"/>
    </row>
    <row r="871" ht="15.75" customHeight="1">
      <c r="I871" s="6"/>
    </row>
    <row r="872" ht="15.75" customHeight="1">
      <c r="I872" s="6"/>
    </row>
    <row r="873" ht="15.75" customHeight="1">
      <c r="I873" s="6"/>
    </row>
    <row r="874" ht="15.75" customHeight="1">
      <c r="I874" s="6"/>
    </row>
    <row r="875" ht="15.75" customHeight="1">
      <c r="I875" s="6"/>
    </row>
    <row r="876" ht="15.75" customHeight="1">
      <c r="I876" s="6"/>
    </row>
    <row r="877" ht="15.75" customHeight="1">
      <c r="I877" s="6"/>
    </row>
    <row r="878" ht="15.75" customHeight="1">
      <c r="I878" s="6"/>
    </row>
    <row r="879" ht="15.75" customHeight="1">
      <c r="I879" s="6"/>
    </row>
    <row r="880" ht="15.75" customHeight="1">
      <c r="I880" s="6"/>
    </row>
    <row r="881" ht="15.75" customHeight="1">
      <c r="I881" s="6"/>
    </row>
    <row r="882" ht="15.75" customHeight="1">
      <c r="I882" s="6"/>
    </row>
    <row r="883" ht="15.75" customHeight="1">
      <c r="I883" s="6"/>
    </row>
    <row r="884" ht="15.75" customHeight="1">
      <c r="I884" s="6"/>
    </row>
    <row r="885" ht="15.75" customHeight="1">
      <c r="I885" s="6"/>
    </row>
    <row r="886" ht="15.75" customHeight="1">
      <c r="I886" s="6"/>
    </row>
    <row r="887" ht="15.75" customHeight="1">
      <c r="I887" s="6"/>
    </row>
    <row r="888" ht="15.75" customHeight="1">
      <c r="I888" s="6"/>
    </row>
    <row r="889" ht="15.75" customHeight="1">
      <c r="I889" s="6"/>
    </row>
    <row r="890" ht="15.75" customHeight="1">
      <c r="I890" s="6"/>
    </row>
    <row r="891" ht="15.75" customHeight="1">
      <c r="I891" s="6"/>
    </row>
    <row r="892" ht="15.75" customHeight="1">
      <c r="I892" s="6"/>
    </row>
    <row r="893" ht="15.75" customHeight="1">
      <c r="I893" s="6"/>
    </row>
    <row r="894" ht="15.75" customHeight="1">
      <c r="I894" s="6"/>
    </row>
    <row r="895" ht="15.75" customHeight="1">
      <c r="I895" s="6"/>
    </row>
    <row r="896" ht="15.75" customHeight="1">
      <c r="I896" s="6"/>
    </row>
    <row r="897" ht="15.75" customHeight="1">
      <c r="I897" s="6"/>
    </row>
    <row r="898" ht="15.75" customHeight="1">
      <c r="I898" s="6"/>
    </row>
    <row r="899" ht="15.75" customHeight="1">
      <c r="I899" s="6"/>
    </row>
    <row r="900" ht="15.75" customHeight="1">
      <c r="I900" s="6"/>
    </row>
    <row r="901" ht="15.75" customHeight="1">
      <c r="I901" s="6"/>
    </row>
    <row r="902" ht="15.75" customHeight="1">
      <c r="I902" s="6"/>
    </row>
    <row r="903" ht="15.75" customHeight="1">
      <c r="I903" s="6"/>
    </row>
    <row r="904" ht="15.75" customHeight="1">
      <c r="I904" s="6"/>
    </row>
    <row r="905" ht="15.75" customHeight="1">
      <c r="I905" s="6"/>
    </row>
    <row r="906" ht="15.75" customHeight="1">
      <c r="I906" s="6"/>
    </row>
    <row r="907" ht="15.75" customHeight="1">
      <c r="I907" s="6"/>
    </row>
    <row r="908" ht="15.75" customHeight="1">
      <c r="I908" s="6"/>
    </row>
    <row r="909" ht="15.75" customHeight="1">
      <c r="I909" s="6"/>
    </row>
    <row r="910" ht="15.75" customHeight="1">
      <c r="I910" s="6"/>
    </row>
    <row r="911" ht="15.75" customHeight="1">
      <c r="I911" s="6"/>
    </row>
    <row r="912" ht="15.75" customHeight="1">
      <c r="I912" s="6"/>
    </row>
    <row r="913" ht="15.75" customHeight="1">
      <c r="I913" s="6"/>
    </row>
    <row r="914" ht="15.75" customHeight="1">
      <c r="I914" s="6"/>
    </row>
    <row r="915" ht="15.75" customHeight="1">
      <c r="I915" s="6"/>
    </row>
    <row r="916" ht="15.75" customHeight="1">
      <c r="I916" s="6"/>
    </row>
    <row r="917" ht="15.75" customHeight="1">
      <c r="I917" s="6"/>
    </row>
    <row r="918" ht="15.75" customHeight="1">
      <c r="I918" s="6"/>
    </row>
    <row r="919" ht="15.75" customHeight="1">
      <c r="I919" s="6"/>
    </row>
    <row r="920" ht="15.75" customHeight="1">
      <c r="I920" s="6"/>
    </row>
    <row r="921" ht="15.75" customHeight="1">
      <c r="I921" s="6"/>
    </row>
    <row r="922" ht="15.75" customHeight="1">
      <c r="I922" s="6"/>
    </row>
    <row r="923" ht="15.75" customHeight="1">
      <c r="I923" s="6"/>
    </row>
    <row r="924" ht="15.75" customHeight="1">
      <c r="I924" s="6"/>
    </row>
    <row r="925" ht="15.75" customHeight="1">
      <c r="I925" s="6"/>
    </row>
    <row r="926" ht="15.75" customHeight="1">
      <c r="I926" s="6"/>
    </row>
    <row r="927" ht="15.75" customHeight="1">
      <c r="I927" s="6"/>
    </row>
    <row r="928" ht="15.75" customHeight="1">
      <c r="I928" s="6"/>
    </row>
    <row r="929" ht="15.75" customHeight="1">
      <c r="I929" s="6"/>
    </row>
    <row r="930" ht="15.75" customHeight="1">
      <c r="I930" s="6"/>
    </row>
    <row r="931" ht="15.75" customHeight="1">
      <c r="I931" s="6"/>
    </row>
    <row r="932" ht="15.75" customHeight="1">
      <c r="I932" s="6"/>
    </row>
    <row r="933" ht="15.75" customHeight="1">
      <c r="I933" s="6"/>
    </row>
    <row r="934" ht="15.75" customHeight="1">
      <c r="I934" s="6"/>
    </row>
    <row r="935" ht="15.75" customHeight="1">
      <c r="I935" s="6"/>
    </row>
    <row r="936" ht="15.75" customHeight="1">
      <c r="I936" s="6"/>
    </row>
    <row r="937" ht="15.75" customHeight="1">
      <c r="I937" s="6"/>
    </row>
    <row r="938" ht="15.75" customHeight="1">
      <c r="I938" s="6"/>
    </row>
    <row r="939" ht="15.75" customHeight="1">
      <c r="I939" s="6"/>
    </row>
    <row r="940" ht="15.75" customHeight="1">
      <c r="I940" s="6"/>
    </row>
    <row r="941" ht="15.75" customHeight="1">
      <c r="I941" s="6"/>
    </row>
    <row r="942" ht="15.75" customHeight="1">
      <c r="I942" s="6"/>
    </row>
    <row r="943" ht="15.75" customHeight="1">
      <c r="I943" s="6"/>
    </row>
    <row r="944" ht="15.75" customHeight="1">
      <c r="I944" s="6"/>
    </row>
    <row r="945" ht="15.75" customHeight="1">
      <c r="I945" s="6"/>
    </row>
    <row r="946" ht="15.75" customHeight="1">
      <c r="I946" s="6"/>
    </row>
    <row r="947" ht="15.75" customHeight="1">
      <c r="I947" s="6"/>
    </row>
    <row r="948" ht="15.75" customHeight="1">
      <c r="I948" s="6"/>
    </row>
    <row r="949" ht="15.75" customHeight="1">
      <c r="I949" s="6"/>
    </row>
    <row r="950" ht="15.75" customHeight="1">
      <c r="I950" s="6"/>
    </row>
    <row r="951" ht="15.75" customHeight="1">
      <c r="I951" s="6"/>
    </row>
    <row r="952" ht="15.75" customHeight="1">
      <c r="I952" s="6"/>
    </row>
    <row r="953" ht="15.75" customHeight="1">
      <c r="I953" s="6"/>
    </row>
    <row r="954" ht="15.75" customHeight="1">
      <c r="I954" s="6"/>
    </row>
    <row r="955" ht="15.75" customHeight="1">
      <c r="I955" s="6"/>
    </row>
    <row r="956" ht="15.75" customHeight="1">
      <c r="I956" s="6"/>
    </row>
    <row r="957" ht="15.75" customHeight="1">
      <c r="I957" s="6"/>
    </row>
    <row r="958" ht="15.75" customHeight="1">
      <c r="I958" s="6"/>
    </row>
    <row r="959" ht="15.75" customHeight="1">
      <c r="I959" s="6"/>
    </row>
    <row r="960" ht="15.75" customHeight="1">
      <c r="I960" s="6"/>
    </row>
    <row r="961" ht="15.75" customHeight="1">
      <c r="I961" s="6"/>
    </row>
    <row r="962" ht="15.75" customHeight="1">
      <c r="I962" s="6"/>
    </row>
    <row r="963" ht="15.75" customHeight="1">
      <c r="I963" s="6"/>
    </row>
    <row r="964" ht="15.75" customHeight="1">
      <c r="I964" s="6"/>
    </row>
    <row r="965" ht="15.75" customHeight="1">
      <c r="I965" s="6"/>
    </row>
    <row r="966" ht="15.75" customHeight="1">
      <c r="I966" s="6"/>
    </row>
    <row r="967" ht="15.75" customHeight="1">
      <c r="I967" s="6"/>
    </row>
    <row r="968" ht="15.75" customHeight="1">
      <c r="I968" s="6"/>
    </row>
    <row r="969" ht="15.75" customHeight="1">
      <c r="I969" s="6"/>
    </row>
    <row r="970" ht="15.75" customHeight="1">
      <c r="I970" s="6"/>
    </row>
    <row r="971" ht="15.75" customHeight="1">
      <c r="I971" s="6"/>
    </row>
    <row r="972" ht="15.75" customHeight="1">
      <c r="I972" s="6"/>
    </row>
    <row r="973" ht="15.75" customHeight="1">
      <c r="I973" s="6"/>
    </row>
    <row r="974" ht="15.75" customHeight="1">
      <c r="I974" s="6"/>
    </row>
    <row r="975" ht="15.75" customHeight="1">
      <c r="I975" s="6"/>
    </row>
    <row r="976" ht="15.75" customHeight="1">
      <c r="I976" s="6"/>
    </row>
    <row r="977" ht="15.75" customHeight="1">
      <c r="I977" s="6"/>
    </row>
    <row r="978" ht="15.75" customHeight="1">
      <c r="I978" s="6"/>
    </row>
    <row r="979" ht="15.75" customHeight="1">
      <c r="I979" s="6"/>
    </row>
    <row r="980" ht="15.75" customHeight="1">
      <c r="I980" s="6"/>
    </row>
    <row r="981" ht="15.75" customHeight="1">
      <c r="I981" s="6"/>
    </row>
    <row r="982" ht="15.75" customHeight="1">
      <c r="I982" s="6"/>
    </row>
    <row r="983" ht="15.75" customHeight="1">
      <c r="I983" s="6"/>
    </row>
    <row r="984" ht="15.75" customHeight="1">
      <c r="I984" s="6"/>
    </row>
    <row r="985" ht="15.75" customHeight="1">
      <c r="I985" s="6"/>
    </row>
    <row r="986" ht="15.75" customHeight="1">
      <c r="I986" s="6"/>
    </row>
    <row r="987" ht="15.75" customHeight="1">
      <c r="I987" s="6"/>
    </row>
    <row r="988" ht="15.75" customHeight="1">
      <c r="I988" s="6"/>
    </row>
    <row r="989" ht="15.75" customHeight="1">
      <c r="I989" s="6"/>
    </row>
    <row r="990" ht="15.75" customHeight="1">
      <c r="I990" s="6"/>
    </row>
    <row r="991" ht="15.75" customHeight="1">
      <c r="I991" s="6"/>
    </row>
    <row r="992" ht="15.75" customHeight="1">
      <c r="I992" s="6"/>
    </row>
    <row r="993" ht="15.75" customHeight="1">
      <c r="I993" s="6"/>
    </row>
    <row r="994" ht="15.75" customHeight="1">
      <c r="I994" s="6"/>
    </row>
    <row r="995" ht="15.75" customHeight="1">
      <c r="I995" s="6"/>
    </row>
    <row r="996" ht="15.75" customHeight="1">
      <c r="I996" s="6"/>
    </row>
    <row r="997" ht="15.75" customHeight="1">
      <c r="I997" s="6"/>
    </row>
    <row r="998" ht="15.75" customHeight="1">
      <c r="I998" s="6"/>
    </row>
    <row r="999" ht="15.75" customHeight="1">
      <c r="I999" s="6"/>
    </row>
    <row r="1000" ht="15.75" customHeight="1">
      <c r="I1000" s="6"/>
    </row>
  </sheetData>
  <mergeCells count="1">
    <mergeCell ref="A10:J1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20.0"/>
    <col customWidth="1" min="3" max="4" width="12.0"/>
    <col customWidth="1" min="5" max="5" width="14.14"/>
    <col customWidth="1" min="6" max="8" width="12.0"/>
    <col customWidth="1" min="9" max="9" width="13.71"/>
    <col customWidth="1" min="10" max="14" width="12.0"/>
    <col customWidth="1" min="15" max="29" width="8.71"/>
    <col customWidth="1" min="30" max="30" width="15.57"/>
    <col customWidth="1" min="31" max="31" width="18.0"/>
    <col customWidth="1" min="32" max="44" width="8.71"/>
  </cols>
  <sheetData>
    <row r="2">
      <c r="B2" s="7" t="s">
        <v>660</v>
      </c>
    </row>
    <row r="4">
      <c r="B4" s="117" t="s">
        <v>661</v>
      </c>
      <c r="C4" s="17" t="str">
        <f>PARAMETRES!C13&amp;" "&amp;PARAMETRES!C14</f>
        <v>Août 2026</v>
      </c>
    </row>
    <row r="6">
      <c r="B6" s="118" t="s">
        <v>662</v>
      </c>
      <c r="C6" s="90"/>
      <c r="E6" s="119" t="s">
        <v>72</v>
      </c>
      <c r="F6" s="90"/>
      <c r="H6" s="119" t="s">
        <v>205</v>
      </c>
      <c r="I6" s="90"/>
    </row>
    <row r="7">
      <c r="B7" s="120">
        <f>'SUIVI MENSUEL COMPLET'!B6</f>
        <v>13706.27</v>
      </c>
      <c r="C7" s="90"/>
      <c r="E7" s="120">
        <f>'SUIVI MENSUEL COMPLET'!B7</f>
        <v>685.3135</v>
      </c>
      <c r="F7" s="90"/>
      <c r="H7" s="121">
        <f>'SUIVI MENSUEL COMPLET'!B10</f>
        <v>36</v>
      </c>
      <c r="I7" s="90"/>
    </row>
    <row r="9">
      <c r="B9" s="119" t="s">
        <v>663</v>
      </c>
      <c r="C9" s="90"/>
      <c r="E9" s="118" t="s">
        <v>664</v>
      </c>
      <c r="F9" s="90"/>
      <c r="H9" s="118" t="s">
        <v>665</v>
      </c>
      <c r="I9" s="90"/>
    </row>
    <row r="10">
      <c r="B10" s="120">
        <f>'SUIVI MENSUEL COMPLET'!B11</f>
        <v>380.7297222</v>
      </c>
      <c r="C10" s="90"/>
      <c r="E10" s="122"/>
      <c r="F10" s="90"/>
      <c r="H10" s="121">
        <f>COUNTIF('SUIVI CLIENTS'!I12:I70,"À RELANCER")</f>
        <v>46</v>
      </c>
      <c r="I10" s="90"/>
    </row>
    <row r="12">
      <c r="B12" s="123" t="s">
        <v>666</v>
      </c>
    </row>
    <row r="21" ht="15.75" customHeight="1"/>
    <row r="22" ht="15.75" customHeight="1"/>
    <row r="23" ht="15.75" customHeight="1"/>
    <row r="24" ht="15.75" customHeight="1"/>
    <row r="25" ht="15.75" customHeight="1">
      <c r="Z25" s="124" t="s">
        <v>667</v>
      </c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</row>
    <row r="26" ht="15.75" customHeight="1"/>
    <row r="27" ht="15.75" customHeight="1"/>
    <row r="28" ht="15.75" customHeight="1">
      <c r="B28" s="123" t="s">
        <v>668</v>
      </c>
      <c r="N28" s="124" t="s">
        <v>669</v>
      </c>
    </row>
    <row r="29" ht="15.75" customHeight="1"/>
    <row r="30" ht="15.75" customHeight="1">
      <c r="AD30" s="4"/>
      <c r="AE30" s="4" t="s">
        <v>670</v>
      </c>
    </row>
    <row r="31" ht="15.75" customHeight="1">
      <c r="AD31" s="4" t="s">
        <v>93</v>
      </c>
      <c r="AE31" s="125">
        <v>3699.4999999999995</v>
      </c>
    </row>
    <row r="32" ht="15.75" customHeight="1">
      <c r="AD32" s="4" t="s">
        <v>91</v>
      </c>
      <c r="AE32" s="125">
        <v>26423.749999999996</v>
      </c>
    </row>
    <row r="33" ht="15.75" customHeight="1">
      <c r="AD33" s="4" t="s">
        <v>37</v>
      </c>
      <c r="AE33" s="125">
        <v>37964.33</v>
      </c>
    </row>
    <row r="34" ht="15.75" customHeight="1">
      <c r="AD34" s="4" t="s">
        <v>92</v>
      </c>
      <c r="AE34" s="125">
        <v>20770.390000000003</v>
      </c>
    </row>
    <row r="35" ht="15.75" customHeight="1">
      <c r="AD35" s="4" t="s">
        <v>671</v>
      </c>
      <c r="AE35" s="125">
        <v>88857.97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>
      <c r="B46" s="123" t="s">
        <v>25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>
      <c r="B64" s="126" t="s">
        <v>63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2" t="s">
        <v>36</v>
      </c>
      <c r="B107" s="2" t="s">
        <v>197</v>
      </c>
      <c r="C107" s="2" t="s">
        <v>145</v>
      </c>
      <c r="D107" s="2" t="s">
        <v>146</v>
      </c>
      <c r="E107" s="2" t="s">
        <v>147</v>
      </c>
      <c r="F107" s="2" t="s">
        <v>148</v>
      </c>
      <c r="G107" s="2" t="s">
        <v>149</v>
      </c>
      <c r="H107" s="2" t="s">
        <v>150</v>
      </c>
      <c r="I107" s="2" t="s">
        <v>151</v>
      </c>
      <c r="J107" s="2" t="s">
        <v>152</v>
      </c>
      <c r="K107" s="2" t="s">
        <v>153</v>
      </c>
      <c r="L107" s="2" t="s">
        <v>154</v>
      </c>
      <c r="M107" s="2" t="s">
        <v>155</v>
      </c>
    </row>
    <row r="108" ht="15.75" customHeight="1">
      <c r="A108" s="4" t="s">
        <v>672</v>
      </c>
      <c r="B108" s="127">
        <f>SUMIFS(VENTES!F3:F476,VENTES!J3:J476,1,VENTES!K3:K476,PARAMETRES!C14)</f>
        <v>26972.78</v>
      </c>
      <c r="C108" s="127">
        <f>SUMIFS(VENTES!F3:F476,VENTES!J3:J476,2,VENTES!K3:K476,PARAMETRES!C14)</f>
        <v>41446.71</v>
      </c>
      <c r="D108" s="127">
        <f>SUMIFS(VENTES!F3:F476,VENTES!J3:J476,3,VENTES!K3:K476,PARAMETRES!C14)</f>
        <v>28509.66</v>
      </c>
      <c r="E108" s="127">
        <f>SUMIFS(VENTES!F3:F476,VENTES!J3:J476,4,VENTES!K3:K476,PARAMETRES!C14)</f>
        <v>34839.25</v>
      </c>
      <c r="F108" s="127">
        <f>SUMIFS(VENTES!F3:F476,VENTES!J3:J476,5,VENTES!K3:K476,PARAMETRES!C14)</f>
        <v>30976.11</v>
      </c>
      <c r="G108" s="127">
        <f>SUMIFS(VENTES!F3:F476,VENTES!J3:J476,6,VENTES!K3:K476,PARAMETRES!C14)</f>
        <v>21170.26</v>
      </c>
      <c r="H108" s="127">
        <f>SUMIFS(VENTES!F3:F476,VENTES!J3:J476,7,VENTES!K3:K476,PARAMETRES!C14)</f>
        <v>23380.51</v>
      </c>
      <c r="I108" s="127">
        <f>SUMIFS(VENTES!F3:F476,VENTES!J3:J476,8,VENTES!K3:K476,PARAMETRES!C14)</f>
        <v>13706.27</v>
      </c>
      <c r="J108" s="127">
        <f>SUMIFS(VENTES!F3:F476,VENTES!J3:J476,9,VENTES!K3:K476,PARAMETRES!C14)</f>
        <v>0</v>
      </c>
      <c r="K108" s="127">
        <f>SUMIFS(VENTES!F3:F476,VENTES!J3:J476,10,VENTES!K3:K476,PARAMETRES!C14)</f>
        <v>0</v>
      </c>
      <c r="L108" s="127">
        <f>SUMIFS(VENTES!F3:F476,VENTES!J3:J476,11,VENTES!K3:K476,PARAMETRES!C14)</f>
        <v>0</v>
      </c>
      <c r="M108" s="127">
        <f>SUMIFS(VENTES!F3:F476,VENTES!J3:J476,12,VENTES!K3:K476,PARAMETRES!C14)</f>
        <v>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12">
    <mergeCell ref="E9:F9"/>
    <mergeCell ref="H9:I9"/>
    <mergeCell ref="B10:C10"/>
    <mergeCell ref="E10:F10"/>
    <mergeCell ref="H10:I10"/>
    <mergeCell ref="B6:C6"/>
    <mergeCell ref="E6:F6"/>
    <mergeCell ref="H6:I6"/>
    <mergeCell ref="B7:C7"/>
    <mergeCell ref="E7:F7"/>
    <mergeCell ref="H7:I7"/>
    <mergeCell ref="B9:C9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1.14"/>
    <col customWidth="1" min="2" max="2" width="27.0"/>
    <col customWidth="1" min="3" max="3" width="20.71"/>
    <col customWidth="1" min="4" max="4" width="33.0"/>
    <col customWidth="1" min="5" max="5" width="53.29"/>
    <col customWidth="1" min="6" max="6" width="17.43"/>
    <col customWidth="1" min="7" max="7" width="8.71"/>
    <col customWidth="1" min="8" max="8" width="61.57"/>
    <col customWidth="1" min="9" max="9" width="8.71"/>
    <col customWidth="1" min="10" max="10" width="64.0"/>
    <col customWidth="1" min="11" max="26" width="8.71"/>
  </cols>
  <sheetData>
    <row r="1">
      <c r="Z1" s="73"/>
    </row>
    <row r="4">
      <c r="B4" s="1" t="s">
        <v>224</v>
      </c>
    </row>
    <row r="5">
      <c r="A5" s="22" t="s">
        <v>225</v>
      </c>
      <c r="B5" s="24" t="s">
        <v>29</v>
      </c>
    </row>
    <row r="6">
      <c r="A6" s="74" t="s">
        <v>226</v>
      </c>
      <c r="B6" s="74" t="str">
        <f>PARAMETRES!C13&amp;" "&amp;PARAMETRES!C14</f>
        <v>Août 2026</v>
      </c>
    </row>
    <row r="8">
      <c r="A8" s="75" t="s">
        <v>228</v>
      </c>
      <c r="B8" s="12"/>
      <c r="C8" s="12"/>
      <c r="D8" s="12"/>
      <c r="E8" s="13"/>
    </row>
    <row r="9">
      <c r="A9" s="2" t="s">
        <v>36</v>
      </c>
      <c r="B9" s="76" t="s">
        <v>229</v>
      </c>
      <c r="C9" s="2" t="s">
        <v>230</v>
      </c>
      <c r="D9" s="76" t="s">
        <v>231</v>
      </c>
      <c r="E9" s="57" t="s">
        <v>232</v>
      </c>
    </row>
    <row r="10">
      <c r="A10" s="27" t="s">
        <v>233</v>
      </c>
      <c r="B10" s="29">
        <f>SUMIFS(VENTES!F3:F476,VENTES!E3:E476,$B$5,VENTES!J3:J476,PARAMETRES!C16,VENTES!K3:K476,PARAMETRES!C14)</f>
        <v>8054.09</v>
      </c>
      <c r="C10" s="58">
        <f>SUM(C11:C12)</f>
        <v>15703.55</v>
      </c>
      <c r="D10" s="77">
        <f t="shared" ref="D10:D18" si="1">B10-C10</f>
        <v>-7649.46</v>
      </c>
      <c r="E10" s="78">
        <f t="shared" ref="E10:E12" si="2">IF(C10=0,"", (B10 - C10)/C10)</f>
        <v>-0.4871166074</v>
      </c>
      <c r="F10" s="79" t="str">
        <f t="shared" ref="F10:F18" si="3">IF(D10&gt;0,"↑",IF(D10&lt;0,"↓","→"))
</f>
        <v>↓</v>
      </c>
    </row>
    <row r="11">
      <c r="A11" s="80" t="s">
        <v>236</v>
      </c>
      <c r="B11" s="29">
        <f>SUMIFS(VENTES!$F3:$F1014,VENTES!$E3:$E1014,$B$5,VENTES!$D3:$D1014,"Direct",VENTES!$J3:$J1014,PARAMETRES!$C16,VENTES!$K3:$K1014,PARAMETRES!$C14)</f>
        <v>436.16</v>
      </c>
      <c r="C11" s="58">
        <f>SUMIFS(
  VENTES!$F:$F ,
  VENTES!$E:$E , $B$5 ,
  VENTES!$D:$D , "Direct" ,
  VENTES!$J:$J , IF(PARAMETRES!$C16=1 , 12 , PARAMETRES!$C16-1) ,
  VENTES!$K:$K , IF(PARAMETRES!$C16=1 , PARAMETRES!$C14-1 , PARAMETRES!$C14)
)
</f>
        <v>3314.58</v>
      </c>
      <c r="D11" s="77">
        <f t="shared" si="1"/>
        <v>-2878.42</v>
      </c>
      <c r="E11" s="78">
        <f t="shared" si="2"/>
        <v>-0.8684116841</v>
      </c>
      <c r="F11" s="79" t="str">
        <f t="shared" si="3"/>
        <v>↓</v>
      </c>
    </row>
    <row r="12">
      <c r="A12" s="80" t="s">
        <v>239</v>
      </c>
      <c r="B12" s="29">
        <f>SUMIFS(VENTES!$F3:$F1014,VENTES!$E3:$E1014,$B$5,VENTES!$D3:$D1014,"Centrale",VENTES!$J3:$J1014,PARAMETRES!$C16,VENTES!$K3:$K1014,PARAMETRES!$C14)</f>
        <v>9854.86</v>
      </c>
      <c r="C12" s="58">
        <f>SUMIFS(
  VENTES!$F:$F ,
  VENTES!$E:$E , $B$5 ,
  VENTES!$D:$D , "Centrale" ,
  VENTES!$J:$J , IF(PARAMETRES!$C16=1 , 12 , PARAMETRES!$C16-1) ,
  VENTES!$K:$K , IF(PARAMETRES!$C16=1 , PARAMETRES!$C14-1 , PARAMETRES!$C14)
)
</f>
        <v>12388.97</v>
      </c>
      <c r="D12" s="77">
        <f t="shared" si="1"/>
        <v>-2534.11</v>
      </c>
      <c r="E12" s="78">
        <f t="shared" si="2"/>
        <v>-0.2045456563</v>
      </c>
      <c r="F12" s="79" t="str">
        <f t="shared" si="3"/>
        <v>↓</v>
      </c>
    </row>
    <row r="13">
      <c r="A13" s="80" t="s">
        <v>241</v>
      </c>
      <c r="B13" s="29">
        <f>SUMIFS(VENTES!I3:I476,VENTES!E3:E476,$B$5,VENTES!J3:J476,PARAMETRES!C16,VENTES!K3:K476,PARAMETRES!C14)</f>
        <v>402.7045</v>
      </c>
      <c r="C13" s="58">
        <f>SUMIFS(VENTES!$I:$I ,VENTES!$E:$E , $B$5 ,VENTES!$J:$J , IF(PARAMETRES!$C16=1 , 12 , PARAMETRES!$C16-1) ,VENTES!$K:$K,IF(PARAMETRES!$C16=1,PARAMETRES!$C14-1,PARAMETRES!$C14))
</f>
        <v>851.4691</v>
      </c>
      <c r="D13" s="77">
        <f t="shared" si="1"/>
        <v>-448.7646</v>
      </c>
      <c r="E13" s="78">
        <f>IF(C13=0,"",(B13-C13)/C13)</f>
        <v>-0.527047429</v>
      </c>
      <c r="F13" s="79" t="str">
        <f t="shared" si="3"/>
        <v>↓</v>
      </c>
    </row>
    <row r="14">
      <c r="A14" s="27" t="s">
        <v>244</v>
      </c>
      <c r="B14" s="27">
        <f>COUNTIFS(VENTES!E3:E1014,$B$5,VENTES!D3:D1014,"Direct",VENTES!J3:J1014,PARAMETRES!C16,VENTES!K3:K1014,PARAMETRES!C14)</f>
        <v>1</v>
      </c>
      <c r="C14" s="58">
        <f>COUNTIFS(
  VENTES!$D:$D , "Direct" ,
  VENTES!$E:$E , $B$5 ,
  VENTES!$J:$J , IF(PARAMETRES!$C16=1 , 12 , PARAMETRES!$C16-1) ,
  VENTES!$K:$K , IF(PARAMETRES!$C16=1 , PARAMETRES!$C14-1 , PARAMETRES!$C14)
)
</f>
        <v>7</v>
      </c>
      <c r="D14" s="54">
        <f t="shared" si="1"/>
        <v>-6</v>
      </c>
      <c r="E14" s="78">
        <f>IF(C14=0,"", (B14-C14)/C14)</f>
        <v>-0.8571428571</v>
      </c>
      <c r="F14" s="79" t="str">
        <f t="shared" si="3"/>
        <v>↓</v>
      </c>
    </row>
    <row r="15">
      <c r="A15" s="27" t="s">
        <v>246</v>
      </c>
      <c r="B15" s="27">
        <f>COUNTIFS(VENTES!E3:E1014,$B$5,VENTES!D3:D1014,"Centrale",VENTES!J3:J1014,PARAMETRES!C16,VENTES!K3:K1014,PARAMETRES!C14)</f>
        <v>21</v>
      </c>
      <c r="C15" s="58">
        <f>COUNTIFS(VENTES!$D:$D,"Centrale",VENTES!$E:$E,$B$5,VENTES!$J:$J , IF(PARAMETRES!$C16=1,12,PARAMETRES!$C16-1),VENTES!$K:$K , IF(PARAMETRES!$C16=1,PARAMETRES!$C14-1,PARAMETRES!$C14)
)
</f>
        <v>20</v>
      </c>
      <c r="D15" s="54">
        <f t="shared" si="1"/>
        <v>1</v>
      </c>
      <c r="E15" s="78">
        <f>IF(C15=0,"",(B15-C15)/C15)</f>
        <v>0.05</v>
      </c>
      <c r="F15" s="79" t="str">
        <f t="shared" si="3"/>
        <v>↑</v>
      </c>
    </row>
    <row r="16">
      <c r="A16" s="27" t="s">
        <v>248</v>
      </c>
      <c r="B16" s="27">
        <f>B14+B15</f>
        <v>22</v>
      </c>
      <c r="C16" s="58">
        <f>SUM(C14:C15)</f>
        <v>27</v>
      </c>
      <c r="D16" s="54">
        <f t="shared" si="1"/>
        <v>-5</v>
      </c>
      <c r="E16" s="78">
        <f>IF(C16=0,"", (B16 - C16) / C16)</f>
        <v>-0.1851851852</v>
      </c>
      <c r="F16" s="79" t="str">
        <f t="shared" si="3"/>
        <v>↓</v>
      </c>
    </row>
    <row r="17">
      <c r="A17" s="80" t="s">
        <v>114</v>
      </c>
      <c r="B17" s="29">
        <f>IFERROR(SUMIFS(VENTES!$F:$F,VENTES!$E:$E,$B$5,VENTES!$D:$D,"Direct",VENTES!$J:$J,PARAMETRES!$C16,VENTES!$K:$K,PARAMETRES!$C14)/
  COUNTIFS(VENTES!$D:$D,"Direct",VENTES!$E:$E,$B$5,VENTES!$J:$J,PARAMETRES!$C16,VENTES!$K:$K,PARAMETRES!$C14),0)
</f>
        <v>436.16</v>
      </c>
      <c r="C17" s="58">
        <f>IFERROR(SUMIFS(VENTES!$F:$F,VENTES!$E:$E,$B$5,VENTES!$D:$D,"Direct",VENTES!$J:$J , IF(PARAMETRES!$C16=1 , 12 , PARAMETRES!$C16-1) ,VENTES!$K:$K,IF(PARAMETRES!$C16=1,PARAMETRES!$C14-1,PARAMETRES!$C14))/COUNTIFS(VENTES!$D:$D,"Direct",VENTES!$E:$E,$B$5,VENTES!$J:$J,IF(PARAMETRES!$C16=1 , 12 , PARAMETRES!$C16-1),VENTES!$K:$K , IF(PARAMETRES!$C16=1 , PARAMETRES!$C14-1 , PARAMETRES!$C14)),0)
</f>
        <v>473.5114286</v>
      </c>
      <c r="D17" s="77">
        <f t="shared" si="1"/>
        <v>-37.35142857</v>
      </c>
      <c r="E17" s="78">
        <f t="shared" ref="E17:E18" si="4">IF(C17=0,"",(B17-C17)/C17)</f>
        <v>-0.07888178894</v>
      </c>
      <c r="F17" s="79" t="str">
        <f t="shared" si="3"/>
        <v>↓</v>
      </c>
    </row>
    <row r="18">
      <c r="A18" s="8" t="s">
        <v>253</v>
      </c>
      <c r="B18" s="71">
        <f>IF((B12/B15)&lt;=0,"",B12/B15)</f>
        <v>469.2790476</v>
      </c>
      <c r="C18" s="54">
        <f>C12/C15</f>
        <v>619.4485</v>
      </c>
      <c r="D18" s="54">
        <f t="shared" si="1"/>
        <v>-150.1694524</v>
      </c>
      <c r="E18" s="78">
        <f t="shared" si="4"/>
        <v>-0.2424244346</v>
      </c>
      <c r="F18" s="79" t="str">
        <f t="shared" si="3"/>
        <v>↓</v>
      </c>
    </row>
    <row r="20">
      <c r="A20" s="75" t="s">
        <v>255</v>
      </c>
      <c r="B20" s="82"/>
      <c r="D20" s="83" t="s">
        <v>256</v>
      </c>
      <c r="E20" s="83" t="s">
        <v>257</v>
      </c>
    </row>
    <row r="21" ht="15.75" customHeight="1">
      <c r="A21" s="84" t="s">
        <v>258</v>
      </c>
      <c r="B21" s="85">
        <f>IFERROR(__xludf.DUMMYFUNCTION("COUNTUNIQUE(
  FILTER(
    VENTES!C:C,
    VENTES!E:E = $B$5,
    VENTES!J:J = MONTH($B$6),
    VENTES!K:K = YEAR($B$6),
    COUNTIFS(
      VENTES!C:C, VENTES!C:C,
      VENTES!E:E, $B$5,
      VENTES!J:J, MONTH(EDATE($B$6, -1)),
      VENTES!K:K, YEAR(E"&amp;"DATE($B$6, -1))
    ) &gt; 0
  )
)
"),4.0)</f>
        <v>4</v>
      </c>
      <c r="D21" s="71" t="str">
        <f>IFERROR(__xludf.DUMMYFUNCTION("UNIQUE(FILTER(ENSEIGNES!B:B,ENSEIGNES!C:C=""Centrale"",ENSEIGNES!D:D=$B$5))"),"SCACHAP")</f>
        <v>SCACHAP</v>
      </c>
      <c r="E21" s="54">
        <f>SUMIFS(VENTES!F3:F1014,VENTES!C3:C1014,D21,VENTES!D3:D1014,"Centrale",VENTES!E3:E1014,$B$5,VENTES!J3:J1014,MONTH($B$6),VENTES!K3:K1014,YEAR($B$6))</f>
        <v>3325.82</v>
      </c>
      <c r="F21" s="4" t="str">
        <f>IF(C21&lt;&gt;"",C21,"")
</f>
        <v/>
      </c>
    </row>
    <row r="22" ht="15.75" customHeight="1">
      <c r="A22" s="80" t="s">
        <v>261</v>
      </c>
      <c r="B22" s="27">
        <f>IFERROR(__xludf.DUMMYFUNCTION("COUNTUNIQUE(
  FILTER(
    VENTES!C:C,
    VENTES!E:E = $B$5,
    VENTES!J:J = MONTH($B$6),
    VENTES!K:K = YEAR($B$6),
    COUNTIFS(
      VENTES!C:C, VENTES!C:C,
      VENTES!E:E, $B$5,
      VENTES!J:J, MONTH(EDATE($B$6, -1)),
      VENTES!K:K, YEAR(E"&amp;"DATE($B$6, -1))
    ) &gt; 0,
    COUNTIFS(
      VENTES!C:C, VENTES!C:C,
      VENTES!E:E, $B$5,
      VENTES!J:J, MONTH(EDATE($B$6, -2)),
      VENTES!K:K, YEAR(EDATE($B$6, -2))
    ) &gt; 0
  )
)
"),4.0)</f>
        <v>4</v>
      </c>
      <c r="D22" s="86" t="str">
        <f>IFERROR(__xludf.DUMMYFUNCTION("""COMPUTED_VALUE"""),"OTERA SAS")</f>
        <v>OTERA SAS</v>
      </c>
      <c r="E22" s="54">
        <f>SUMIFS(VENTES!F4:F1014,VENTES!C4:C1014,D22,VENTES!D4:D1014,"Centrale",VENTES!E4:E1014,$B$5,VENTES!J4:J1014,MONTH($B$6),VENTES!K4:K1014,YEAR($B$6))</f>
        <v>2468.46</v>
      </c>
    </row>
    <row r="23" ht="15.75" customHeight="1">
      <c r="A23" s="80" t="s">
        <v>263</v>
      </c>
      <c r="B23" s="71">
        <f>IFERROR(__xludf.DUMMYFUNCTION("COUNTUNIQUE(
  FILTER(
    VENTES!C:C,
    VENTES!E:E = $B$5,
    VENTES!J:J = MONTH($B$6),
    VENTES!K:K = YEAR($B$6),
    COUNTIFS(
      VENTES!C:C, VENTES!C:C,
      VENTES!E:E, $B$5,
      VENTES!A:A, ""&lt;"" &amp; EOMONTH($B$6, -1)
    ) = 0
  )
)
"),1.0)</f>
        <v>1</v>
      </c>
      <c r="D23" s="71" t="str">
        <f>IFERROR(__xludf.DUMMYFUNCTION("""COMPUTED_VALUE"""),"SCAOUEST")</f>
        <v>SCAOUEST</v>
      </c>
      <c r="E23" s="54">
        <f>SUMIFS(VENTES!F5:F1014,VENTES!C5:C1014,D23,VENTES!D5:D1014,"Centrale",VENTES!E5:E1014,$B$5,VENTES!J5:J1014,MONTH($B$6),VENTES!K5:K1014,YEAR($B$6))</f>
        <v>3231.05</v>
      </c>
      <c r="H23" s="87"/>
    </row>
    <row r="24" ht="15.75" customHeight="1">
      <c r="A24" s="27" t="s">
        <v>265</v>
      </c>
      <c r="B24" s="61">
        <f>IFERROR(__xludf.DUMMYFUNCTION("IFERROR(COUNTIFS(VENTES!$E:$E,$B$5,VENTES!$J:$J,PARAMETRES!$C16,VENTES!$K:$K,PARAMETRES!$C14)/COUNTA(UNIQUE(FILTER(VENTES!$C:$C ,(VENTES!$E:$E=$B$5) *(VENTES!$J:$J=PARAMETRES!$C16)*(VENTES!$K:$K=PARAMETRES!$C14)))),0)
"),4.4)</f>
        <v>4.4</v>
      </c>
      <c r="D24" s="71" t="str">
        <f>IFERROR(__xludf.DUMMYFUNCTION("""COMPUTED_VALUE"""),"ALDOUEST ")</f>
        <v>ALDOUEST </v>
      </c>
      <c r="E24" s="54">
        <f>SUMIFS(VENTES!F6:F1014,VENTES!C6:C1014,D24,VENTES!D6:D1014,"Centrale",VENTES!E6:E1014,$B$5,VENTES!J6:J1014,MONTH($B$6),VENTES!K6:K1014,YEAR($B$6))</f>
        <v>829.53</v>
      </c>
    </row>
    <row r="25" ht="15.75" customHeight="1">
      <c r="A25" s="27" t="s">
        <v>268</v>
      </c>
      <c r="B25" s="27">
        <f>COUNTIFS(
  'SUIVI CLIENTS'!$B:$B , $B$5 ,
  'SUIVI CLIENTS'!$I:$I , "À RELANCER"
)
</f>
        <v>19</v>
      </c>
      <c r="D25" s="71"/>
      <c r="E25" s="54">
        <f>SUMIFS(VENTES!F7:F1014,VENTES!C7:C1014,D25,VENTES!D7:D1014,"Centrale",VENTES!E7:E1014,$B$5,VENTES!J7:J1014,MONTH($B$6),VENTES!K7:K1014,YEAR($B$6))</f>
        <v>0</v>
      </c>
    </row>
    <row r="26" ht="15.75" customHeight="1"/>
    <row r="27" ht="15.75" customHeight="1">
      <c r="A27" s="88" t="s">
        <v>270</v>
      </c>
      <c r="B27" s="89"/>
      <c r="C27" s="89"/>
      <c r="D27" s="90"/>
    </row>
    <row r="28" ht="15.75" customHeight="1">
      <c r="A28" s="91" t="str">
        <f>IFERROR(__xludf.DUMMYFUNCTION("TEXTJOIN(CHAR(10), TRUE,FILTER('SUIVI CLIENTS'!A:A &amp; "" — dernière commande : "" &amp;TEXT('SUIVI CLIENTS'!F:F, ""dd/mm/yyyy""),('SUIVI CLIENTS'!B:B = B5) *('SUIVI CLIENTS'!I:I = ""À RELANCER"")))
"),"ALDOUEST  — dernière commande : 19/08/2026
HYPER U LES HERBIERS ( SAS EXAGONE) — dernière commande : 25/03/2026
LECLERC FLEURY LES AUBRAIS (SOCAMAINE) — dernière commande : 12/01/2026
LECLERC OLONNE SUR MER (SODILONNE) — dernière commande : 21/07/2026
LES"&amp;" PLATANES - ITM ROCHEFORT (SAS) — dernière commande : 21/01/2026
RENOUEST ( E.LECLERC RENNES ) (SAS) — dernière commande : 15/06/2026
SA SUPER U L'EPINE (NOIRMOUTIER) — dernière commande : 17/07/2026
SAS INTERMARCHE LIMOGES — dernière commande : 13/03/202"&amp;"6
SAS JODI - ITM EXPRESS NANTES ST JOSEPH — dernière commande : 24/06/2026
SAS KERVILLY ( E.LECLERC QUIMPER ) — dernière commande : 04/05/2026
SAS PARIS DISTRIBUTION — dernière commande : 03/04/2026
SAS SU LA TRANCHE SUR MER — dernière commande : 17/07/20"&amp;"26
SAS SU OLONNE SUR MER — dernière commande : 03/07/2026
SAS SU OLONNE SUR MER (SAS CHATODIS) — dernière commande : 17/07/2026
SAS U EXPRESS LES MARINES — dernière commande : 17/07/2026
SOBODIS DISTRIBUTION U EXPRESS NANTES PETIT PORT(SAS) — dernière com"&amp;"mande : 09/04/2026
SODICHAL - HYPER U CHALLANS (SAS) — dernière commande : 19/06/2026
SU NANTES CHENAIE (SAS EXPAN) CARQUEFOU — dernière commande : 12/11/2025
THOUARS DISTRIBUTION — dernière commande : 03/11/2025")</f>
        <v>ALDOUEST  — dernière commande : 19/08/2026
HYPER U LES HERBIERS ( SAS EXAGONE) — dernière commande : 25/03/2026
LECLERC FLEURY LES AUBRAIS (SOCAMAINE) — dernière commande : 12/01/2026
LECLERC OLONNE SUR MER (SODILONNE) — dernière commande : 21/07/2026
LES PLATANES - ITM ROCHEFORT (SAS) — dernière commande : 21/01/2026
RENOUEST ( E.LECLERC RENNES ) (SAS) — dernière commande : 15/06/2026
SA SUPER U L'EPINE (NOIRMOUTIER) — dernière commande : 17/07/2026
SAS INTERMARCHE LIMOGES — dernière commande : 13/03/2026
SAS JODI - ITM EXPRESS NANTES ST JOSEPH — dernière commande : 24/06/2026
SAS KERVILLY ( E.LECLERC QUIMPER ) — dernière commande : 04/05/2026
SAS PARIS DISTRIBUTION — dernière commande : 03/04/2026
SAS SU LA TRANCHE SUR MER — dernière commande : 17/07/2026
SAS SU OLONNE SUR MER — dernière commande : 03/07/2026
SAS SU OLONNE SUR MER (SAS CHATODIS) — dernière commande : 17/07/2026
SAS U EXPRESS LES MARINES — dernière commande : 17/07/2026
SOBODIS DISTRIBUTION U EXPRESS NANTES PETIT PORT(SAS) — dernière commande : 09/04/2026
SODICHAL - HYPER U CHALLANS (SAS) — dernière commande : 19/06/2026
SU NANTES CHENAIE (SAS EXPAN) CARQUEFOU — dernière commande : 12/11/2025
THOUARS DISTRIBUTION — dernière commande : 03/11/2025</v>
      </c>
      <c r="B28" s="89"/>
      <c r="C28" s="89"/>
      <c r="D28" s="90"/>
    </row>
    <row r="29" ht="15.75" customHeight="1"/>
    <row r="30" ht="15.75" customHeight="1">
      <c r="A30" s="92" t="s">
        <v>272</v>
      </c>
      <c r="B30" s="93"/>
      <c r="C30" s="92" t="s">
        <v>273</v>
      </c>
      <c r="D30" s="93"/>
      <c r="E30" s="94" t="s">
        <v>274</v>
      </c>
    </row>
    <row r="31" ht="15.75" customHeight="1">
      <c r="A31" s="95" t="str">
        <f>IFERROR(__xludf.DUMMYFUNCTION("UNIQUE(
  FILTER(
    VENTES!$C:$C ,
    (VENTES!$E:$E=$B$5) *
    (VENTES!$D:$D=""Direct"") *
    (VENTES!$J:$J=PARAMETRES!$C16) *
    (VENTES!$K:$K=PARAMETRES!$C14)
  )
)
"),"U EXPRESS RENNES HOCHE ( SAS LES CONQUERANTS )")</f>
        <v>U EXPRESS RENNES HOCHE ( SAS LES CONQUERANTS )</v>
      </c>
      <c r="B31" s="96"/>
      <c r="C31" s="97" t="str">
        <f>IFERROR(__xludf.DUMMYFUNCTION("UNIQUE(
  FILTER(
    VENTES!$C:$C ,
    (VENTES!$E:$E=$B$5) *
    (VENTES!$D:$D=""Direct"") *
    (VENTES!$J:$J=IF(PARAMETRES!$C16=1 , 12 , PARAMETRES!$C16-1)) *
    (VENTES!$K:$K=IF(PARAMETRES!$C16=1 , PARAMETRES!$C14-1 , PARAMETRES!$C14))
  )
)
"),"SA SUPER U L'EPINE (NOIRMOUTIER)")</f>
        <v>SA SUPER U L'EPINE (NOIRMOUTIER)</v>
      </c>
      <c r="D31" s="98"/>
      <c r="E31" s="98" t="str">
        <f>IFERROR(__xludf.DUMMYFUNCTION("UNIQUE(
  FILTER(
    VENTES!$C:$C ,
    (VENTES!$E:$E=$B$5) *
    (VENTES!$D:$D=""Direct"") *
    (VENTES!$J:$J=IF(PARAMETRES!$C16&lt;=2 , 12+PARAMETRES!$C16-2 , PARAMETRES!$C16-2)) *
    (VENTES!$K:$K=IF(PARAMETRES!$C16&lt;=2 , PARAMETRES!$C14-1 , PARAMETRES!"&amp;"$C14))
  )
)
"),"RENOUEST ( E.LECLERC RENNES ) (SAS)")</f>
        <v>RENOUEST ( E.LECLERC RENNES ) (SAS)</v>
      </c>
    </row>
    <row r="32" ht="15.75" customHeight="1">
      <c r="A32" s="99"/>
      <c r="C32" s="100" t="str">
        <f>IFERROR(__xludf.DUMMYFUNCTION("""COMPUTED_VALUE"""),"SAS SU OLONNE SUR MER")</f>
        <v>SAS SU OLONNE SUR MER</v>
      </c>
      <c r="D32" s="101"/>
      <c r="E32" s="101" t="str">
        <f>IFERROR(__xludf.DUMMYFUNCTION("""COMPUTED_VALUE"""),"SODICHAL - HYPER U CHALLANS (SAS)")</f>
        <v>SODICHAL - HYPER U CHALLANS (SAS)</v>
      </c>
    </row>
    <row r="33" ht="15.75" customHeight="1">
      <c r="A33" s="99"/>
      <c r="C33" s="100" t="str">
        <f>IFERROR(__xludf.DUMMYFUNCTION("""COMPUTED_VALUE"""),"SAS SU LA TRANCHE SUR MER")</f>
        <v>SAS SU LA TRANCHE SUR MER</v>
      </c>
      <c r="D33" s="101"/>
      <c r="E33" s="101" t="str">
        <f>IFERROR(__xludf.DUMMYFUNCTION("""COMPUTED_VALUE"""),"U EXPRESS RENNES HOCHE ( SAS LES CONQUERANTS )")</f>
        <v>U EXPRESS RENNES HOCHE ( SAS LES CONQUERANTS )</v>
      </c>
    </row>
    <row r="34" ht="15.75" customHeight="1">
      <c r="A34" s="99"/>
      <c r="C34" s="100" t="str">
        <f>IFERROR(__xludf.DUMMYFUNCTION("""COMPUTED_VALUE"""),"SAS U EXPRESS LES MARINES")</f>
        <v>SAS U EXPRESS LES MARINES</v>
      </c>
      <c r="D34" s="101"/>
      <c r="E34" s="101" t="str">
        <f>IFERROR(__xludf.DUMMYFUNCTION("""COMPUTED_VALUE"""),"SAS JODI - ITM EXPRESS NANTES ST JOSEPH")</f>
        <v>SAS JODI - ITM EXPRESS NANTES ST JOSEPH</v>
      </c>
    </row>
    <row r="35" ht="15.75" customHeight="1">
      <c r="A35" s="99"/>
      <c r="C35" s="100" t="str">
        <f>IFERROR(__xludf.DUMMYFUNCTION("""COMPUTED_VALUE"""),"SAS SU OLONNE SUR MER (SAS CHATODIS)")</f>
        <v>SAS SU OLONNE SUR MER (SAS CHATODIS)</v>
      </c>
      <c r="D35" s="101"/>
      <c r="E35" s="101"/>
    </row>
    <row r="36" ht="15.75" customHeight="1">
      <c r="A36" s="99"/>
      <c r="C36" s="100" t="str">
        <f>IFERROR(__xludf.DUMMYFUNCTION("""COMPUTED_VALUE"""),"LECLERC OLONNE SUR MER (SODILONNE)")</f>
        <v>LECLERC OLONNE SUR MER (SODILONNE)</v>
      </c>
      <c r="D36" s="101"/>
      <c r="E36" s="101"/>
    </row>
    <row r="37" ht="15.75" customHeight="1">
      <c r="A37" s="99"/>
      <c r="C37" s="100"/>
      <c r="D37" s="101"/>
      <c r="E37" s="101"/>
    </row>
    <row r="38" ht="15.75" customHeight="1">
      <c r="A38" s="99"/>
      <c r="C38" s="100"/>
      <c r="D38" s="101"/>
      <c r="E38" s="101"/>
    </row>
    <row r="39" ht="15.75" customHeight="1">
      <c r="A39" s="99"/>
      <c r="C39" s="100"/>
      <c r="D39" s="101"/>
      <c r="E39" s="101"/>
    </row>
    <row r="40" ht="15.75" customHeight="1">
      <c r="A40" s="99"/>
      <c r="C40" s="100"/>
      <c r="D40" s="101"/>
      <c r="E40" s="101"/>
    </row>
    <row r="41" ht="15.75" customHeight="1">
      <c r="A41" s="99"/>
      <c r="C41" s="100"/>
      <c r="D41" s="101"/>
      <c r="E41" s="101"/>
    </row>
    <row r="42" ht="15.75" customHeight="1">
      <c r="A42" s="99"/>
      <c r="C42" s="99"/>
      <c r="D42" s="102"/>
      <c r="E42" s="102"/>
    </row>
    <row r="43" ht="15.75" customHeight="1">
      <c r="A43" s="103"/>
      <c r="B43" s="104"/>
      <c r="C43" s="99"/>
      <c r="D43" s="105"/>
      <c r="E43" s="102"/>
    </row>
    <row r="44" ht="15.75" customHeight="1">
      <c r="A44" s="99"/>
      <c r="C44" s="99"/>
      <c r="D44" s="102"/>
      <c r="E44" s="102"/>
    </row>
    <row r="45" ht="15.75" customHeight="1">
      <c r="A45" s="106"/>
      <c r="B45" s="107"/>
      <c r="C45" s="106"/>
      <c r="D45" s="108"/>
      <c r="E45" s="108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5">
    <mergeCell ref="A8:E8"/>
    <mergeCell ref="A27:D27"/>
    <mergeCell ref="A28:D28"/>
    <mergeCell ref="A30:B30"/>
    <mergeCell ref="C30:D30"/>
  </mergeCells>
  <conditionalFormatting sqref="D10:F18">
    <cfRule type="expression" dxfId="0" priority="1">
      <formula>$D10&lt;0</formula>
    </cfRule>
  </conditionalFormatting>
  <conditionalFormatting sqref="D10:F18">
    <cfRule type="expression" dxfId="1" priority="2">
      <formula>$D10&gt;0</formula>
    </cfRule>
  </conditionalFormatting>
  <dataValidations>
    <dataValidation type="list" allowBlank="1" sqref="B5">
      <formula1>"CAP FRAIS,BROCARD,GMA GROUP,SCHLESSER"</formula1>
    </dataValidation>
  </dataValidations>
  <printOptions/>
  <pageMargins bottom="0.75" footer="0.0" header="0.0" left="1.0" right="1.0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2.57"/>
    <col customWidth="1" min="3" max="3" width="88.29"/>
    <col customWidth="1" min="4" max="4" width="18.14"/>
    <col customWidth="1" min="5" max="5" width="17.57"/>
  </cols>
  <sheetData>
    <row r="1">
      <c r="A1" s="110"/>
    </row>
    <row r="2">
      <c r="A2" s="111" t="s">
        <v>291</v>
      </c>
    </row>
    <row r="4">
      <c r="C4" s="4" t="str">
        <f>"Bonjour l'équipe " &amp; 'RAPPORT AGENT'!B5 &amp; "," &amp; CHAR(10) &amp; CHAR(10) &amp;
"J'espère que vous allez bien." &amp; CHAR(10) &amp;
"Voici votre rapport pour le mois de " &amp; TEXT('RAPPORT AGENT'!B6, "mmmm yyyy") &amp; "." &amp; CHAR(10) &amp; CHAR(10) &amp;
"• CA Total : " &amp; 'RAPPORT AGENT'!B10 &amp; " €" &amp; CHAR(10) &amp;
"• CA Direct : " &amp; 'RAPPORT AGENT'!B11 &amp; " €" &amp; CHAR(10) &amp;
"• CA Centrale : " &amp; 'RAPPORT AGENT'!B12 &amp; " €" &amp; CHAR(10) &amp;
"• NB BL Direct : " &amp; 'RAPPORT AGENT'!B14 &amp; CHAR(10) &amp;
"• NB BL Centrale : " &amp; 'RAPPORT AGENT'!B15 &amp; CHAR(10) &amp;
"• NB BL Total : " &amp; 'RAPPORT AGENT'!B16 &amp; CHAR(10) &amp;
"• Commission totale : " &amp; 'RAPPORT AGENT'!B13 &amp; " €" &amp; CHAR(10) &amp; CHAR(10) &amp;
"• Détail des centrales :" &amp; CHAR(10) &amp;
'RAPPORT AGENT'!D21 &amp; " : " &amp; 'RAPPORT AGENT'!E21 &amp; " €" &amp; CHAR(10) &amp;
'RAPPORT AGENT'!D22 &amp; " : " &amp; 'RAPPORT AGENT'!E22 &amp; " €" &amp; CHAR(10) &amp;
'RAPPORT AGENT'!D23 &amp; " : " &amp; 'RAPPORT AGENT'!E23 &amp; " €" &amp; CHAR(10) &amp;
'RAPPORT AGENT'!D24 &amp; " : " &amp; 'RAPPORT AGENT'!E24 &amp; " €" &amp; CHAR(10) &amp; CHAR(10) &amp;
"Vous trouverez plus de détails en pièce jointe : comparatif avec le mois précédent + clients à relancer." &amp; CHAR(10) &amp; CHAR(10) &amp;
"Je suis disponible pour tout éclaircissement ou demande." &amp; CHAR(10) &amp;
"Bonne journée à vous," &amp; CHAR(10) &amp;
"Cordialement,"
</f>
        <v>Bonjour l'équipe CAP FRAIS,
J'espère que vous allez bien.
Voici votre rapport pour le mois de août 2026.
• CA Total : 8054,09 €
• CA Direct : 436,16 €
• CA Centrale : 9854,86 €
• NB BL Direct : 1
• NB BL Centrale : 21
• NB BL Total : 22
• Commission totale : 402,7045 €
• Détail des centrales :
SCACHAP : 3325,82 €
OTERA SAS : 2468,46 €
SCAOUEST : 3231,05 €
ALDOUEST  : 829,53 €
Vous trouverez plus de détails en pièce jointe : comparatif avec le mois précédent + clients à relancer.
Je suis disponible pour tout éclaircissement ou demande.
Bonne journée à vous,
Cordialement,</v>
      </c>
    </row>
    <row r="10">
      <c r="B10" s="8" t="s">
        <v>297</v>
      </c>
      <c r="C10" s="112" t="s">
        <v>298</v>
      </c>
      <c r="D10" s="112" t="s">
        <v>299</v>
      </c>
      <c r="E10" s="8" t="s">
        <v>300</v>
      </c>
    </row>
    <row r="11">
      <c r="B11" s="8" t="s">
        <v>301</v>
      </c>
      <c r="C11" s="8" t="s">
        <v>302</v>
      </c>
      <c r="D11" s="8" t="s">
        <v>300</v>
      </c>
      <c r="E11" s="8" t="s">
        <v>303</v>
      </c>
    </row>
    <row r="12">
      <c r="B12" s="8" t="s">
        <v>304</v>
      </c>
      <c r="C12" s="8" t="s">
        <v>305</v>
      </c>
      <c r="D12" s="8" t="s">
        <v>300</v>
      </c>
      <c r="E12" s="8" t="s">
        <v>303</v>
      </c>
    </row>
  </sheetData>
  <drawing r:id="rId1"/>
</worksheet>
</file>